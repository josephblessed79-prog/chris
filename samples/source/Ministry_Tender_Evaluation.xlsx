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tabRatio="500" firstSheet="9" activeTab="9"/>
  </bookViews>
  <sheets>
    <sheet name="START HERE" sheetId="1" r:id="rId1"/>
    <sheet name="TENDER SETUP" sheetId="2" r:id="rId2"/>
    <sheet name="BIDDER REGISTER" sheetId="3" r:id="rId3"/>
    <sheet name="CRITERIA BUILDER" sheetId="4" r:id="rId4"/>
    <sheet name="RESPONSIVENESS" sheetId="5" r:id="rId5"/>
    <sheet name="TECHNICAL SCORING" sheetId="6" r:id="rId6"/>
    <sheet name="FINANCIAL CAPACITY" sheetId="7" r:id="rId7"/>
    <sheet name="COMMERCIAL EVAL" sheetId="8" r:id="rId8"/>
    <sheet name="CLARIFICATIONS" sheetId="9" r:id="rId9"/>
    <sheet name="DASHBOARD" sheetId="10" r:id="rId10"/>
    <sheet name="REPORT BUILDER" sheetId="11" r:id="rId11"/>
    <sheet name="SOURCE REGISTER" sheetId="12" r:id="rId12"/>
    <sheet name="LISTS" sheetId="13" r:id="rId13"/>
  </sheets>
  <definedNames>
    <definedName name="ProcurementMethodList">LISTS!$D$5:$D$24</definedName>
    <definedName name="TenderTypeList">LISTS!$C$5:$C$24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<sst xmlns="http://schemas.openxmlformats.org/spreadsheetml/2006/main" count="419" uniqueCount="369">
  <si>
    <t>MINISTRY OF DEFENCE — TENDER EVALUATION WORKBOOK</t>
  </si>
  <si>
    <t>Committee working tool for mandatory responsiveness, technical scoring, financial capacity, commercial evaluation and report drafting.</t>
  </si>
  <si>
    <t>Use this workbook in order. Yellow cells are for input. Grey and blue cells are formulas or guidance. Do not treat the workbook as the decision-maker; it is an audit-traceable working aid.</t>
  </si>
  <si>
    <t>STEP</t>
  </si>
  <si>
    <t>SHEET</t>
  </si>
  <si>
    <t>WHAT TO DO</t>
  </si>
  <si>
    <t>PLAIN ENGLISH</t>
  </si>
  <si>
    <t>CHAIRPERSON RULE: Agree the criteria and weights before scoring any bidder. Do not add, remove or change criteria after tenders are opened. Every finding must be traceable to a source document and a written reason.</t>
  </si>
  <si>
    <t>1</t>
  </si>
  <si>
    <t>TENDER SETUP</t>
  </si>
  <si>
    <t>Enter tender title, method, line of business, estimated value and pass marks.</t>
  </si>
  <si>
    <t>Set the job before scoring anyone.</t>
  </si>
  <si>
    <t>2</t>
  </si>
  <si>
    <t>BIDDER REGISTER</t>
  </si>
  <si>
    <t>Enter each bidder once.</t>
  </si>
  <si>
    <t>One bidder per row.</t>
  </si>
  <si>
    <t>3</t>
  </si>
  <si>
    <t>CRITERIA BUILDER</t>
  </si>
  <si>
    <t>Confirm weights before evaluation begins.</t>
  </si>
  <si>
    <t>No new criteria after tenders are opened.</t>
  </si>
  <si>
    <t>4</t>
  </si>
  <si>
    <t>RESPONSIVENESS</t>
  </si>
  <si>
    <t>Mark mandatory items Pass / Fail / N/A.</t>
  </si>
  <si>
    <t>Mandatory means pass/fail, not points.</t>
  </si>
  <si>
    <t>5</t>
  </si>
  <si>
    <t>TECHNICAL SCORING</t>
  </si>
  <si>
    <t>Score only responsive bidders against stated criteria.</t>
  </si>
  <si>
    <t>Score what the tender said you would score.</t>
  </si>
  <si>
    <t>6</t>
  </si>
  <si>
    <t>FINANCIAL CAPACITY</t>
  </si>
  <si>
    <t>Enter financial statement figures; ratios and rating calculate automatically.</t>
  </si>
  <si>
    <t>Use financial statements. Do not guess figures.</t>
  </si>
  <si>
    <t>SAFE METHOD: Open the source document. Find the line item. Enter the figure exactly as shown. Let the workbook calculate. If a figure cannot be traced, do not use it.</t>
  </si>
  <si>
    <t>7</t>
  </si>
  <si>
    <t>COMMERCIAL EVAL</t>
  </si>
  <si>
    <t>Enter evaluated price, VAT and payment terms.</t>
  </si>
  <si>
    <t>Price is scored after eligibility checks.</t>
  </si>
  <si>
    <t>8</t>
  </si>
  <si>
    <t>DASHBOARD</t>
  </si>
  <si>
    <t>Review rankings, exclusions and recommendation flag.</t>
  </si>
  <si>
    <t>Quick view, not the final report.</t>
  </si>
  <si>
    <t>9</t>
  </si>
  <si>
    <t>REPORT BUILDER</t>
  </si>
  <si>
    <t>Copy and clean the report text for the final evaluation report.</t>
  </si>
  <si>
    <t>This builds the skeleton report.</t>
  </si>
  <si>
    <t>Plain explanation for non-accounting users</t>
  </si>
  <si>
    <t>Income Statement</t>
  </si>
  <si>
    <t>Did the company make or lose money for the year?</t>
  </si>
  <si>
    <t>Use it for Revenue, Gross Profit and Net Profit.</t>
  </si>
  <si>
    <t>Balance Sheet</t>
  </si>
  <si>
    <t>What does the company own and owe on one date?</t>
  </si>
  <si>
    <t>Use it for Cash, Assets, Liabilities, Equity, Receivables and Working Capital.</t>
  </si>
  <si>
    <t>Cash Flow Statement</t>
  </si>
  <si>
    <t>Did real money actually move?</t>
  </si>
  <si>
    <t>Use it to check whether profit turned into cash.</t>
  </si>
  <si>
    <t>Committee test</t>
  </si>
  <si>
    <t>Can the bidder do the job, carry the cost, and survive the contract?</t>
  </si>
  <si>
    <t>Use the evidence; no guessing, no drama.</t>
  </si>
  <si>
    <t>Workbook rule</t>
  </si>
  <si>
    <t>Every figure must have a home: statement, year, line item.</t>
  </si>
  <si>
    <t>If it cannot be traced, do not use it.</t>
  </si>
  <si>
    <t>Enter the tender details once. These fields feed the report builder and dashboard.</t>
  </si>
  <si>
    <t>Field</t>
  </si>
  <si>
    <t>Input</t>
  </si>
  <si>
    <t>Simple instruction</t>
  </si>
  <si>
    <t>FIRST PRINCIPLE: Decide the criteria before the tender goes out. The evaluation report must follow the criteria already stated in the tender documents.</t>
  </si>
  <si>
    <t>Ministry / Public Body</t>
  </si>
  <si>
    <t>Ministry of Defence</t>
  </si>
  <si>
    <t>Enter the full Ministry/Public Body name.</t>
  </si>
  <si>
    <t>Division / Unit</t>
  </si>
  <si>
    <t>Example: Procurement Unit / TTDF / Air Guard.</t>
  </si>
  <si>
    <t>Tender Title</t>
  </si>
  <si>
    <t>Use the exact title from the RFP/ITT.</t>
  </si>
  <si>
    <t>Procurement Reference</t>
  </si>
  <si>
    <t>Enter the file or RFP/ITT reference.</t>
  </si>
  <si>
    <t>Procurement Method</t>
  </si>
  <si>
    <t>Open Tender</t>
  </si>
  <si>
    <t>Example: Open Tender, Selective Tender, RFP, RFQ.</t>
  </si>
  <si>
    <t>Tender Type</t>
  </si>
  <si>
    <t>Works / Refurbishment / Construction</t>
  </si>
  <si>
    <t>Select the closest tender type.</t>
  </si>
  <si>
    <t>TRINIDAD AND TOBAGO REALITY CHECK: A low price is not value for money if the bidder cannot deliver, support the item, pay workers/suppliers, or survive delayed payment cycles.</t>
  </si>
  <si>
    <t>Line of Business</t>
  </si>
  <si>
    <t>Use the OPR/depository line of business if known.</t>
  </si>
  <si>
    <t>Estimated Value (TTD)</t>
  </si>
  <si>
    <t>Enter estimate if available.</t>
  </si>
  <si>
    <t>Closing Date</t>
  </si>
  <si>
    <t>Use the official closing date.</t>
  </si>
  <si>
    <t>Evaluation Report Date</t>
  </si>
  <si>
    <t>Enter the date the evaluation report is prepared.</t>
  </si>
  <si>
    <t>Overall Pass Score</t>
  </si>
  <si>
    <t>Usually 70 unless the tender states otherwise.</t>
  </si>
  <si>
    <t>Minimum Technical Score</t>
  </si>
  <si>
    <t>Default 42 (60% of 70 scored technical points). Adjust to match RFP if different.</t>
  </si>
  <si>
    <t>Price Scoring Formula</t>
  </si>
  <si>
    <t>Lowest evaluated responsive price / bidder price × price points</t>
  </si>
  <si>
    <t>Default formula used in Commercial Evaluation.</t>
  </si>
  <si>
    <t>Committee Chairperson</t>
  </si>
  <si>
    <t>Enter chairperson name.</t>
  </si>
  <si>
    <t>Prepared By</t>
  </si>
  <si>
    <t>Lt. Christopher Joseph, MBA-Finance, CMA</t>
  </si>
  <si>
    <t>Enter preparer/facilitator if applicable.</t>
  </si>
  <si>
    <t>Enter each bidder once. All scoring sheets pull the names from here.</t>
  </si>
  <si>
    <t>No.</t>
  </si>
  <si>
    <t>Bidder Name</t>
  </si>
  <si>
    <t>Company Type</t>
  </si>
  <si>
    <t>Value Category</t>
  </si>
  <si>
    <t>Years Experience</t>
  </si>
  <si>
    <t>Submitted On Time?</t>
  </si>
  <si>
    <t>Notes</t>
  </si>
  <si>
    <t>Confirm the evaluation structure before scoring. Adjust weights only if this matches the issued tender.</t>
  </si>
  <si>
    <t>Code</t>
  </si>
  <si>
    <t>Evaluation Area</t>
  </si>
  <si>
    <t>Max Points</t>
  </si>
  <si>
    <t>Type</t>
  </si>
  <si>
    <t>Minimum / Gate</t>
  </si>
  <si>
    <t>What it tests</t>
  </si>
  <si>
    <t>Committee note</t>
  </si>
  <si>
    <t>G1</t>
  </si>
  <si>
    <t>Mandatory Responsiveness</t>
  </si>
  <si>
    <t>Gate</t>
  </si>
  <si>
    <t>Pass/Fail</t>
  </si>
  <si>
    <t>Was the submission eligible to be evaluated?</t>
  </si>
  <si>
    <t>Do not score mandatory items.</t>
  </si>
  <si>
    <t>G2</t>
  </si>
  <si>
    <t>Minimum Technical Requirement</t>
  </si>
  <si>
    <t>Pass/Fail or threshold</t>
  </si>
  <si>
    <t>Does the offer meet the minimum operational requirement?</t>
  </si>
  <si>
    <t>A cheap non-compliant bid is not value.</t>
  </si>
  <si>
    <t>C1</t>
  </si>
  <si>
    <t>Organizational Capability / Experience</t>
  </si>
  <si>
    <t>Manual Score</t>
  </si>
  <si>
    <t>Can the bidder organize and manage the job?</t>
  </si>
  <si>
    <t>C2</t>
  </si>
  <si>
    <t>Technical Compliance / Solution</t>
  </si>
  <si>
    <t>Does the offer meet the technical need?</t>
  </si>
  <si>
    <t>C3</t>
  </si>
  <si>
    <t>Methodology / Implementation Plan</t>
  </si>
  <si>
    <t>Does the bidder understand how to execute?</t>
  </si>
  <si>
    <t>C4</t>
  </si>
  <si>
    <t>Warranty / Support / Training</t>
  </si>
  <si>
    <t>Will support exist after award?</t>
  </si>
  <si>
    <t>C5</t>
  </si>
  <si>
    <t>Delivery / Lead Time</t>
  </si>
  <si>
    <t>Can the bidder deliver within the required time?</t>
  </si>
  <si>
    <t>C6</t>
  </si>
  <si>
    <t>Financial Capacity</t>
  </si>
  <si>
    <t>Calculated Score</t>
  </si>
  <si>
    <t>Can the bidder carry the contract financially?</t>
  </si>
  <si>
    <t>Feeds from Financial Capacity sheet.</t>
  </si>
  <si>
    <t>C7</t>
  </si>
  <si>
    <t>Price / Commercial Offer</t>
  </si>
  <si>
    <t>Is the evaluated price competitive?</t>
  </si>
  <si>
    <t>Feeds from Commercial Evaluation sheet.</t>
  </si>
  <si>
    <t>C8</t>
  </si>
  <si>
    <t>Payment Terms</t>
  </si>
  <si>
    <t>Are payment terms acceptable to Government?</t>
  </si>
  <si>
    <t>Total Scored Points</t>
  </si>
  <si>
    <t>Status</t>
  </si>
  <si>
    <t>Rule</t>
  </si>
  <si>
    <t>Do not change criteria after tenders are opened.</t>
  </si>
  <si>
    <t>MANDATORY RESPONSIVENESS</t>
  </si>
  <si>
    <t>Mark mandatory items as Pass, Fail or N/A. A failed mandatory item should be recorded clearly.</t>
  </si>
  <si>
    <t>Bidder</t>
  </si>
  <si>
    <t>Deadline</t>
  </si>
  <si>
    <t>Signed / Authorized</t>
  </si>
  <si>
    <t>Correct Envelope / Format</t>
  </si>
  <si>
    <t>Statutory Docs</t>
  </si>
  <si>
    <t>OPR / Line of Business</t>
  </si>
  <si>
    <t>Bid Validity</t>
  </si>
  <si>
    <t>Site Visit / NDA</t>
  </si>
  <si>
    <t>Required Forms</t>
  </si>
  <si>
    <t>Overall</t>
  </si>
  <si>
    <t>Reason / Note</t>
  </si>
  <si>
    <t>TECHNICAL AND CAPABILITY SCORING</t>
  </si>
  <si>
    <t>Enter scores only within the stated maximum points. Use comments for any score that may be challenged.</t>
  </si>
  <si>
    <t>Responsive?</t>
  </si>
  <si>
    <t>Org / Experience</t>
  </si>
  <si>
    <t>Technical Compliance</t>
  </si>
  <si>
    <t>Methodology / Plan</t>
  </si>
  <si>
    <t>Support / Training</t>
  </si>
  <si>
    <t>Delivery</t>
  </si>
  <si>
    <t>Min Tech Pass?</t>
  </si>
  <si>
    <t>Evaluator Note</t>
  </si>
  <si>
    <t>Enter financial statement figures. Ratios, screening rating and committee wording calculate automatically.</t>
  </si>
  <si>
    <t>FY</t>
  </si>
  <si>
    <t>Sector</t>
  </si>
  <si>
    <t>Revenue</t>
  </si>
  <si>
    <t>Gross Profit</t>
  </si>
  <si>
    <t>Net Profit</t>
  </si>
  <si>
    <t>Current Assets</t>
  </si>
  <si>
    <t>Inventory</t>
  </si>
  <si>
    <t>Current Liabilities</t>
  </si>
  <si>
    <t>Total Assets</t>
  </si>
  <si>
    <t>Total Liabilities</t>
  </si>
  <si>
    <t>Total Equity</t>
  </si>
  <si>
    <t>Trade Receivables CY</t>
  </si>
  <si>
    <t>Trade Receivables PY</t>
  </si>
  <si>
    <t>Operating Profit</t>
  </si>
  <si>
    <t>Interest Expense</t>
  </si>
  <si>
    <t>Gross Margin</t>
  </si>
  <si>
    <t>Net Margin</t>
  </si>
  <si>
    <t>Current Ratio</t>
  </si>
  <si>
    <t>Quick Ratio</t>
  </si>
  <si>
    <t>Debt/Equity</t>
  </si>
  <si>
    <t>ROA</t>
  </si>
  <si>
    <t>ROE</t>
  </si>
  <si>
    <t>Receivables Turnover</t>
  </si>
  <si>
    <t>Asset Turnover</t>
  </si>
  <si>
    <t>Working Capital</t>
  </si>
  <si>
    <t>Interest Cover</t>
  </si>
  <si>
    <t>Screening Rating</t>
  </si>
  <si>
    <t>Financial Score</t>
  </si>
  <si>
    <t>Committee Note</t>
  </si>
  <si>
    <t>COMMERCIAL EVALUATION</t>
  </si>
  <si>
    <t>Enter evaluated prices. Price score is calculated only for bidders that are responsive and meet the minimum technical threshold.</t>
  </si>
  <si>
    <t>Tech Pass?</t>
  </si>
  <si>
    <t>Evaluated Price Ex VAT</t>
  </si>
  <si>
    <t>VAT</t>
  </si>
  <si>
    <t>Evaluated Price Incl VAT</t>
  </si>
  <si>
    <t>Eligible for Price Scoring?</t>
  </si>
  <si>
    <t>Price Score</t>
  </si>
  <si>
    <t>Commercial Note</t>
  </si>
  <si>
    <t>Eligible Price Helper</t>
  </si>
  <si>
    <t>CLARIFICATION LOG</t>
  </si>
  <si>
    <t>Record all clarification questions and responses. Keep substance separate from correction of minor arithmetic or missing proof.</t>
  </si>
  <si>
    <t>Date Asked</t>
  </si>
  <si>
    <t>Question / Clarification Requested</t>
  </si>
  <si>
    <t>Date Response Received</t>
  </si>
  <si>
    <t>Response Summary</t>
  </si>
  <si>
    <t>Changed Score?</t>
  </si>
  <si>
    <t>EVALUATION DASHBOARD</t>
  </si>
  <si>
    <t>Quick view of bidder status, scores, ranking and recommended next action.</t>
  </si>
  <si>
    <t>Tender</t>
  </si>
  <si>
    <t>Dashboard is a review screen only. The final evaluation report must still record methodology, criteria, reasons, limitations, clarification history and recommendation.</t>
  </si>
  <si>
    <t>Total Bidders</t>
  </si>
  <si>
    <t>Responsive Bidders</t>
  </si>
  <si>
    <t>Price-Eligible Bidders</t>
  </si>
  <si>
    <t>Rank</t>
  </si>
  <si>
    <t>Responsive</t>
  </si>
  <si>
    <t>Tech Score</t>
  </si>
  <si>
    <t>Financial Rating</t>
  </si>
  <si>
    <t>Total Score</t>
  </si>
  <si>
    <t>Recommended Action</t>
  </si>
  <si>
    <t>EVALUATION REPORT BUILDER</t>
  </si>
  <si>
    <t>This sheet drafts the report framework. Review and edit for final submission.</t>
  </si>
  <si>
    <t>1. INTRODUCTION</t>
  </si>
  <si>
    <t>2. PROCUREMENT DETAILS</t>
  </si>
  <si>
    <t>3. EVALUATION METHODOLOGY</t>
  </si>
  <si>
    <t>The Committee applied the criteria fixed in the CRITERIA BUILDER before tender opening. Mandatory responsiveness was tested first on a pass/fail basis. Only responsive bidders proceeded to scored evaluation. Technical scoring was applied against the criteria and maximum points stated in the tender. Financial capacity was assessed using submitted financial statements and screened against sector-neutral bands. Commercial evaluation applied the stated price formula. Total scores were computed and ranked on the Dashboard.</t>
  </si>
  <si>
    <t>4. MANDATORY RESPONSIVENESS</t>
  </si>
  <si>
    <t>5. TECHNICAL EVALUATION SUMMARY</t>
  </si>
  <si>
    <t>6. FINANCIAL CAPACITY SUMMARY</t>
  </si>
  <si>
    <t>7. COMMERCIAL EVALUATION SUMMARY</t>
  </si>
  <si>
    <t>8. FINDINGS BY BIDDER</t>
  </si>
  <si>
    <t>Each bidder is summarised below with data drawn from the earlier tabs. The Committee should review each paragraph, add specific supporting evidence for manual technical scores, and edit as needed for the final report.</t>
  </si>
  <si>
    <t>9. NON-RESPONSIVE AND INCOMPLETE BIDDERS</t>
  </si>
  <si>
    <t>10. RECOMMENDATION</t>
  </si>
  <si>
    <t>11. SUMMARY COMPARISON TABLE</t>
  </si>
  <si>
    <t>12. COMMITTEE SIGNATURES</t>
  </si>
  <si>
    <t>Name</t>
  </si>
  <si>
    <t>Designation</t>
  </si>
  <si>
    <t>Signature</t>
  </si>
  <si>
    <t>Date</t>
  </si>
  <si>
    <t>SOURCE REGISTER AND CONTROL NOTE</t>
  </si>
  <si>
    <t>Records the authority, assumptions and limitations used in this workbook.</t>
  </si>
  <si>
    <t>Source / Control</t>
  </si>
  <si>
    <t>Use in workbook</t>
  </si>
  <si>
    <t>Reference / URL / File</t>
  </si>
  <si>
    <t>Public Procurement and Disposal of Public Property Act</t>
  </si>
  <si>
    <t>Governing statutory framework</t>
  </si>
  <si>
    <t>Act No. 1 of 2015 (as amended)</t>
  </si>
  <si>
    <t>Apply the current version of the Act and related regulations.</t>
  </si>
  <si>
    <t>OPR Pre-Qualification and Pre-Selection Guidelines</t>
  </si>
  <si>
    <t>Prequalification and evidence-based due diligence</t>
  </si>
  <si>
    <t>Office of Procurement Regulation (T&amp;T)</t>
  </si>
  <si>
    <t>Use line of business, value category and evidence-based records.</t>
  </si>
  <si>
    <t>OPR Ethical Code of Conduct</t>
  </si>
  <si>
    <t>Ethics, confidentiality, conflict of interest</t>
  </si>
  <si>
    <t>Every committee member signs before evaluation begins.</t>
  </si>
  <si>
    <t>Approved tender documents (RFP/ITT)</t>
  </si>
  <si>
    <t>Source of criteria, weights, mandatory items and pass marks</t>
  </si>
  <si>
    <t>As issued by the public body</t>
  </si>
  <si>
    <t>Criteria and weights in this workbook must match the issued documents.</t>
  </si>
  <si>
    <t>Committee Terms of Reference</t>
  </si>
  <si>
    <t>Appointment, quorum, decision rules</t>
  </si>
  <si>
    <t>As approved by the Accounting Officer</t>
  </si>
  <si>
    <t>File the ToR with the evaluation record.</t>
  </si>
  <si>
    <t>Bidder submissions</t>
  </si>
  <si>
    <t>Primary source for figures, prices, declarations</t>
  </si>
  <si>
    <t>As received via the approved tender box or portal</t>
  </si>
  <si>
    <t>Every figure must be traced to an original submitted document.</t>
  </si>
  <si>
    <t>Financial Capacity screening approach</t>
  </si>
  <si>
    <t>Ratio calculation and screening rating logic</t>
  </si>
  <si>
    <t>Companion internal methodology</t>
  </si>
  <si>
    <t>Screening aid, not the final decision-maker.</t>
  </si>
  <si>
    <t>Committee Control Rule</t>
  </si>
  <si>
    <t>Protects against post-opening changes to criteria</t>
  </si>
  <si>
    <t>Internal governance rule</t>
  </si>
  <si>
    <t>Criteria are fixed before tender opening. No changes after.</t>
  </si>
  <si>
    <t>Limitation Statement</t>
  </si>
  <si>
    <t>Guards against black-box decisions</t>
  </si>
  <si>
    <t>This workbook supports Committee judgement. It does not replace it.</t>
  </si>
  <si>
    <t>SCRUTINY RULE: Every finding must be traceable to the tender criteria, a source document, a score or calculation, and a written reason. If the workbook output cannot be defended from the file, do not use it as final wording.</t>
  </si>
  <si>
    <t>SYSTEM LISTS</t>
  </si>
  <si>
    <t>Dropdown values and lookup tables. Do not edit unless the chairperson authorises it.</t>
  </si>
  <si>
    <t>Reference guidance — not a dropdown. Explains which model suits each tender type.</t>
  </si>
  <si>
    <t>PassFailNA</t>
  </si>
  <si>
    <t>StatusList</t>
  </si>
  <si>
    <t>TenderType (editable)</t>
  </si>
  <si>
    <t>ProcurementMethod (editable)</t>
  </si>
  <si>
    <t>Rating</t>
  </si>
  <si>
    <t>Multiplier</t>
  </si>
  <si>
    <t>Plain Meaning</t>
  </si>
  <si>
    <t>Tender Type (guidance only)</t>
  </si>
  <si>
    <t>Suggested Evaluation Model</t>
  </si>
  <si>
    <t>Pass</t>
  </si>
  <si>
    <t>Not Started</t>
  </si>
  <si>
    <t>Ordinary Goods</t>
  </si>
  <si>
    <t>Strong</t>
  </si>
  <si>
    <t>Core evidence is strong for the sector and contract.</t>
  </si>
  <si>
    <t>Price can carry higher weight after compliance.</t>
  </si>
  <si>
    <t>Use where goods are simple and standardized.</t>
  </si>
  <si>
    <t>Fail</t>
  </si>
  <si>
    <t>In Progress</t>
  </si>
  <si>
    <t>Specialist Equipment / Safety</t>
  </si>
  <si>
    <t>Selective Tender</t>
  </si>
  <si>
    <t>Adequate</t>
  </si>
  <si>
    <t>Usable, with no major warning sign.</t>
  </si>
  <si>
    <t>Technical and support must dominate.</t>
  </si>
  <si>
    <t>Use for mission/life safety items.</t>
  </si>
  <si>
    <t>N/A</t>
  </si>
  <si>
    <t>Complete</t>
  </si>
  <si>
    <t>Request for Proposals (RFP)</t>
  </si>
  <si>
    <t>Adequate with Caution</t>
  </si>
  <si>
    <t>Usable, but the Committee should record the risk.</t>
  </si>
  <si>
    <t>Technical, method, HSE and financial capacity matter.</t>
  </si>
  <si>
    <t>Use for contractors and works.</t>
  </si>
  <si>
    <t>Open</t>
  </si>
  <si>
    <t>Consultancy / Professional Services</t>
  </si>
  <si>
    <t>Request for Quotations (RFQ)</t>
  </si>
  <si>
    <t>Stretched</t>
  </si>
  <si>
    <t>Weak or tight financial position.</t>
  </si>
  <si>
    <t>Key experts and methodology dominate.</t>
  </si>
  <si>
    <t>Lowest price should not dominate.</t>
  </si>
  <si>
    <t>Closed</t>
  </si>
  <si>
    <t>Events / Logistics / Public Outreach</t>
  </si>
  <si>
    <t>Limited Tender</t>
  </si>
  <si>
    <t>High Risk</t>
  </si>
  <si>
    <t>Material concern; do not treat as safe without strong clarification.</t>
  </si>
  <si>
    <t>Logistics and delivery risk are central.</t>
  </si>
  <si>
    <t>Check staffing, backup and coordination.</t>
  </si>
  <si>
    <t>Yes</t>
  </si>
  <si>
    <t>Security Systems / CCTV / ICT</t>
  </si>
  <si>
    <t>Sole Source / Direct Contracting</t>
  </si>
  <si>
    <t>No Data</t>
  </si>
  <si>
    <t>No usable financial evidence entered.</t>
  </si>
  <si>
    <t>Technical solution and after-sales support matter.</t>
  </si>
  <si>
    <t>Check authorization, warranty and SLA.</t>
  </si>
  <si>
    <t>No</t>
  </si>
  <si>
    <t>General Services</t>
  </si>
  <si>
    <t>Framework Agreement</t>
  </si>
  <si>
    <t>Incomplete</t>
  </si>
  <si>
    <t>Required financial figures are missing.</t>
  </si>
  <si>
    <t>Use balanced model.</t>
  </si>
  <si>
    <t>Adjust before tender issue.</t>
  </si>
  <si>
    <t>Specialist Review</t>
  </si>
  <si>
    <t>Ordinary ratios may not be the best test.</t>
  </si>
  <si>
    <t>Non-responsive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</si>
</sst>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0.00;;&quot;&quot;"/>
    <numFmt numFmtId="177" formatCode="yyyy\-mm\-dd"/>
    <numFmt numFmtId="178" formatCode="#,##0;[Red]\(#,##0\);&quot;&quot;"/>
    <numFmt numFmtId="179" formatCode="0.0%;[Red]\-0.0%;&quot;&quot;"/>
    <numFmt numFmtId="180" formatCode="0.00;[Red]\-0.00;&quot;&quot;"/>
    <numFmt numFmtId="181" formatCode="0;;&quot;&quot;"/>
    <numFmt numFmtId="182" formatCode="&quot;$&quot;#,##0.00"/>
    <numFmt numFmtId="183" formatCode="dd/mm/yyyy"/>
  </numFmts>
  <fonts count="38">
    <font>
      <sz val="10"/>
      <name val="Arial"/>
      <charset val="1"/>
    </font>
    <font>
      <sz val="11"/>
      <name val="Calibri"/>
      <charset val="1"/>
    </font>
    <font>
      <b/>
      <sz val="18"/>
      <color rgb="FFFFFFFF"/>
      <name val="Calibri"/>
      <charset val="1"/>
    </font>
    <font>
      <sz val="10"/>
      <name val="Calibri"/>
      <charset val="1"/>
    </font>
    <font>
      <i/>
      <sz val="10"/>
      <color rgb="FFE8EEF7"/>
      <name val="Calibri"/>
      <charset val="1"/>
    </font>
    <font>
      <i/>
      <sz val="9"/>
      <color rgb="FF808080"/>
      <name val="Calibri"/>
      <charset val="1"/>
    </font>
    <font>
      <b/>
      <sz val="10"/>
      <color rgb="FFFFFFFF"/>
      <name val="Calibri"/>
      <charset val="1"/>
    </font>
    <font>
      <b/>
      <sz val="11"/>
      <color rgb="FFFFFFFF"/>
      <name val="Calibri"/>
      <charset val="1"/>
    </font>
    <font>
      <i/>
      <sz val="10"/>
      <color rgb="FF1A202C"/>
      <name val="Calibri"/>
      <charset val="1"/>
    </font>
    <font>
      <b/>
      <i/>
      <sz val="14"/>
      <color rgb="FF17365D"/>
      <name val="Calibri"/>
      <charset val="1"/>
    </font>
    <font>
      <b/>
      <sz val="13"/>
      <color rgb="FF17365D"/>
      <name val="Calibri"/>
      <charset val="1"/>
    </font>
    <font>
      <sz val="11"/>
      <color rgb="FF000000"/>
      <name val="Calibri"/>
      <charset val="1"/>
    </font>
    <font>
      <sz val="10"/>
      <color rgb="FF1A202C"/>
      <name val="Calibri"/>
      <charset val="1"/>
    </font>
    <font>
      <i/>
      <sz val="10"/>
      <color rgb="FF595959"/>
      <name val="Calibri"/>
      <charset val="1"/>
    </font>
    <font>
      <b/>
      <sz val="10"/>
      <color rgb="FF1E3A5F"/>
      <name val="Calibri"/>
      <charset val="1"/>
    </font>
    <font>
      <sz val="10"/>
      <color rgb="FF5A6473"/>
      <name val="Calibri"/>
      <charset val="1"/>
    </font>
    <font>
      <b/>
      <sz val="10"/>
      <color rgb="FF1A202C"/>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52C48"/>
        <bgColor rgb="FF17365D"/>
      </patternFill>
    </fill>
    <fill>
      <patternFill patternType="solid">
        <fgColor rgb="FF1E3A5F"/>
        <bgColor rgb="FF17365D"/>
      </patternFill>
    </fill>
    <fill>
      <patternFill patternType="solid">
        <fgColor rgb="FF17365D"/>
        <bgColor rgb="FF1E3A5F"/>
      </patternFill>
    </fill>
    <fill>
      <patternFill patternType="solid">
        <fgColor rgb="FFF4E8C6"/>
        <bgColor rgb="FFFFF2CC"/>
      </patternFill>
    </fill>
    <fill>
      <patternFill patternType="solid">
        <fgColor rgb="FFE8F0FA"/>
        <bgColor rgb="FFE8EEF7"/>
      </patternFill>
    </fill>
    <fill>
      <patternFill patternType="solid">
        <fgColor rgb="FFFFF2CC"/>
        <bgColor rgb="FFF4E8C6"/>
      </patternFill>
    </fill>
    <fill>
      <patternFill patternType="solid">
        <fgColor rgb="FFF5F7FA"/>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80808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7" fillId="0" borderId="0" applyBorder="0" applyAlignment="0" applyProtection="0"/>
    <xf numFmtId="44" fontId="17" fillId="0" borderId="0" applyBorder="0" applyAlignment="0" applyProtection="0"/>
    <xf numFmtId="9" fontId="17" fillId="0" borderId="0" applyBorder="0" applyAlignment="0" applyProtection="0"/>
    <xf numFmtId="41" fontId="17" fillId="0" borderId="0" applyBorder="0" applyAlignment="0" applyProtection="0"/>
    <xf numFmtId="42" fontId="17" fillId="0" borderId="0" applyBorder="0" applyAlignment="0" applyProtection="0"/>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9"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10" borderId="5" applyNumberFormat="0" applyAlignment="0" applyProtection="0">
      <alignment vertical="center"/>
    </xf>
    <xf numFmtId="0" fontId="28" fillId="11" borderId="6" applyNumberFormat="0" applyAlignment="0" applyProtection="0">
      <alignment vertical="center"/>
    </xf>
    <xf numFmtId="0" fontId="29" fillId="11" borderId="5" applyNumberFormat="0" applyAlignment="0" applyProtection="0">
      <alignment vertical="center"/>
    </xf>
    <xf numFmtId="0" fontId="30" fillId="12"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5" fillId="15" borderId="0" applyNumberFormat="0" applyBorder="0" applyAlignment="0" applyProtection="0">
      <alignment vertical="center"/>
    </xf>
    <xf numFmtId="0" fontId="36"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7" fillId="33" borderId="0" applyNumberFormat="0" applyBorder="0" applyAlignment="0" applyProtection="0">
      <alignment vertical="center"/>
    </xf>
    <xf numFmtId="0" fontId="37"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6" fillId="39" borderId="0" applyNumberFormat="0" applyBorder="0" applyAlignment="0" applyProtection="0">
      <alignment vertical="center"/>
    </xf>
  </cellStyleXfs>
  <cellXfs count="57">
    <xf numFmtId="0" fontId="0" fillId="0" borderId="0" xfId="0"/>
    <xf numFmtId="0" fontId="1" fillId="0" borderId="0" xfId="0" applyFont="1" applyAlignment="1"/>
    <xf numFmtId="0" fontId="2" fillId="2" borderId="0" xfId="0" applyFont="1" applyFill="1" applyBorder="1" applyAlignment="1">
      <alignment horizontal="left" vertical="center"/>
    </xf>
    <xf numFmtId="0" fontId="3" fillId="0" borderId="0" xfId="0" applyFont="1" applyAlignment="1"/>
    <xf numFmtId="0" fontId="4" fillId="3" borderId="0" xfId="0" applyFont="1" applyFill="1" applyBorder="1" applyAlignment="1">
      <alignment horizontal="left"/>
    </xf>
    <xf numFmtId="0" fontId="5" fillId="0" borderId="0" xfId="0" applyFont="1" applyAlignment="1"/>
    <xf numFmtId="0" fontId="6" fillId="3" borderId="0" xfId="0" applyFont="1" applyFill="1" applyAlignment="1">
      <alignment horizontal="center" vertical="center" wrapText="1"/>
    </xf>
    <xf numFmtId="0" fontId="7" fillId="4" borderId="0" xfId="0" applyFont="1" applyFill="1" applyAlignment="1">
      <alignment horizontal="left" vertical="center"/>
    </xf>
    <xf numFmtId="0" fontId="6" fillId="3" borderId="0" xfId="0" applyFont="1" applyFill="1" applyAlignment="1">
      <alignment horizontal="center"/>
    </xf>
    <xf numFmtId="0" fontId="3" fillId="0" borderId="0" xfId="0" applyFont="1" applyAlignment="1">
      <alignment wrapText="1"/>
    </xf>
    <xf numFmtId="0" fontId="8" fillId="5" borderId="0" xfId="0" applyFont="1" applyFill="1" applyAlignment="1">
      <alignment vertical="top" wrapText="1"/>
    </xf>
    <xf numFmtId="0" fontId="9" fillId="0" borderId="0" xfId="0" applyFont="1" applyAlignment="1">
      <alignment horizontal="center"/>
    </xf>
    <xf numFmtId="0" fontId="0" fillId="0" borderId="0" xfId="0" applyAlignment="1"/>
    <xf numFmtId="0" fontId="10" fillId="0" borderId="0" xfId="0" applyFont="1" applyAlignment="1">
      <alignment vertical="center"/>
    </xf>
    <xf numFmtId="0" fontId="11" fillId="0" borderId="0" xfId="0" applyFont="1" applyBorder="1" applyAlignment="1">
      <alignment vertical="top" wrapText="1"/>
    </xf>
    <xf numFmtId="0" fontId="6" fillId="0" borderId="0" xfId="0" applyFont="1" applyAlignment="1"/>
    <xf numFmtId="0" fontId="12" fillId="0" borderId="0" xfId="0" applyFont="1" applyAlignment="1">
      <alignment vertical="top" wrapText="1"/>
    </xf>
    <xf numFmtId="0" fontId="13" fillId="0" borderId="0" xfId="0" applyFont="1" applyBorder="1" applyAlignment="1">
      <alignment vertical="top" wrapText="1"/>
    </xf>
    <xf numFmtId="0" fontId="6" fillId="4" borderId="0" xfId="0" applyFont="1" applyFill="1" applyAlignment="1">
      <alignment horizontal="center" vertical="center" wrapText="1"/>
    </xf>
    <xf numFmtId="0" fontId="3" fillId="0" borderId="0" xfId="0" applyFont="1" applyAlignment="1">
      <alignment horizontal="center"/>
    </xf>
    <xf numFmtId="0" fontId="3" fillId="0" borderId="0" xfId="0" applyFont="1" applyAlignment="1">
      <alignment horizontal="left"/>
    </xf>
    <xf numFmtId="176" fontId="3" fillId="0" borderId="0" xfId="0" applyNumberFormat="1" applyFont="1" applyAlignment="1"/>
    <xf numFmtId="0" fontId="1" fillId="0" borderId="0" xfId="0" applyFont="1" applyAlignment="1">
      <alignment horizontal="center"/>
    </xf>
    <xf numFmtId="0" fontId="1" fillId="0" borderId="0" xfId="0" applyFont="1" applyAlignment="1">
      <alignment horizontal="left"/>
    </xf>
    <xf numFmtId="176" fontId="1" fillId="0" borderId="0" xfId="0" applyNumberFormat="1" applyFont="1" applyAlignment="1"/>
    <xf numFmtId="0" fontId="7" fillId="0" borderId="0" xfId="0" applyFont="1" applyAlignment="1">
      <alignment horizontal="center"/>
    </xf>
    <xf numFmtId="0" fontId="0" fillId="0" borderId="0" xfId="0" applyAlignment="1">
      <alignment horizontal="left"/>
    </xf>
    <xf numFmtId="0" fontId="0" fillId="0" borderId="0" xfId="0" applyAlignment="1">
      <alignment horizontal="center"/>
    </xf>
    <xf numFmtId="176" fontId="0" fillId="0" borderId="0" xfId="0" applyNumberFormat="1" applyAlignment="1"/>
    <xf numFmtId="0" fontId="6" fillId="4" borderId="0" xfId="0" applyFont="1" applyFill="1" applyAlignment="1">
      <alignment horizontal="center"/>
    </xf>
    <xf numFmtId="0" fontId="0" fillId="0" borderId="1" xfId="0" applyBorder="1" applyAlignment="1"/>
    <xf numFmtId="0" fontId="6" fillId="3" borderId="0" xfId="0" applyFont="1" applyFill="1" applyAlignment="1"/>
    <xf numFmtId="0" fontId="14" fillId="6" borderId="0" xfId="0" applyFont="1" applyFill="1" applyAlignment="1"/>
    <xf numFmtId="0" fontId="8" fillId="5" borderId="0" xfId="0" applyFont="1" applyFill="1" applyBorder="1" applyAlignment="1">
      <alignment vertical="top" wrapText="1"/>
    </xf>
    <xf numFmtId="2" fontId="3" fillId="0" borderId="0" xfId="0" applyNumberFormat="1" applyFont="1" applyAlignment="1"/>
    <xf numFmtId="0" fontId="3" fillId="7" borderId="0" xfId="0" applyFont="1" applyFill="1" applyAlignment="1"/>
    <xf numFmtId="177" fontId="3" fillId="7" borderId="0" xfId="0" applyNumberFormat="1" applyFont="1" applyFill="1" applyAlignment="1"/>
    <xf numFmtId="0" fontId="3" fillId="7" borderId="0" xfId="0" applyFont="1" applyFill="1" applyAlignment="1">
      <alignment wrapText="1"/>
    </xf>
    <xf numFmtId="177" fontId="3" fillId="7" borderId="0" xfId="0" applyNumberFormat="1" applyFont="1" applyFill="1" applyAlignment="1">
      <alignment wrapText="1"/>
    </xf>
    <xf numFmtId="178" fontId="3" fillId="7" borderId="0" xfId="0" applyNumberFormat="1" applyFont="1" applyFill="1" applyAlignment="1"/>
    <xf numFmtId="178" fontId="3" fillId="0" borderId="0" xfId="0" applyNumberFormat="1" applyFont="1" applyAlignment="1"/>
    <xf numFmtId="178" fontId="15" fillId="8" borderId="0" xfId="0" applyNumberFormat="1" applyFont="1" applyFill="1" applyAlignment="1"/>
    <xf numFmtId="179" fontId="3" fillId="0" borderId="0" xfId="0" applyNumberFormat="1" applyFont="1" applyAlignment="1"/>
    <xf numFmtId="180" fontId="3" fillId="0" borderId="0" xfId="0" applyNumberFormat="1" applyFont="1" applyAlignment="1"/>
    <xf numFmtId="0" fontId="16" fillId="5" borderId="0" xfId="0" applyFont="1" applyFill="1" applyAlignment="1">
      <alignment horizontal="center"/>
    </xf>
    <xf numFmtId="181" fontId="3" fillId="7" borderId="0" xfId="0" applyNumberFormat="1" applyFont="1" applyFill="1" applyAlignment="1"/>
    <xf numFmtId="181" fontId="3" fillId="0" borderId="0" xfId="0" applyNumberFormat="1" applyFont="1" applyAlignment="1"/>
    <xf numFmtId="0" fontId="14" fillId="6" borderId="0" xfId="0" applyFont="1" applyFill="1" applyAlignment="1">
      <alignment horizontal="center"/>
    </xf>
    <xf numFmtId="0" fontId="16" fillId="5" borderId="0" xfId="0" applyFont="1" applyFill="1" applyAlignment="1">
      <alignment wrapText="1"/>
    </xf>
    <xf numFmtId="0" fontId="15" fillId="0" borderId="0" xfId="0" applyFont="1" applyAlignment="1">
      <alignment wrapText="1"/>
    </xf>
    <xf numFmtId="182" fontId="3" fillId="7" borderId="0" xfId="0" applyNumberFormat="1" applyFont="1" applyFill="1" applyAlignment="1"/>
    <xf numFmtId="1" fontId="3" fillId="7" borderId="0" xfId="0" applyNumberFormat="1" applyFont="1" applyFill="1" applyAlignment="1"/>
    <xf numFmtId="183" fontId="3" fillId="7" borderId="0" xfId="0" applyNumberFormat="1" applyFont="1" applyFill="1" applyAlignment="1"/>
    <xf numFmtId="0" fontId="16" fillId="5" borderId="0" xfId="0" applyFont="1" applyFill="1" applyBorder="1" applyAlignment="1">
      <alignment wrapText="1"/>
    </xf>
    <xf numFmtId="0" fontId="14" fillId="0" borderId="0" xfId="0" applyFont="1" applyAlignment="1"/>
    <xf numFmtId="0" fontId="6" fillId="3" borderId="0" xfId="0" applyFont="1" applyFill="1" applyBorder="1" applyAlignment="1">
      <alignment horizontal="center" vertical="center" wrapText="1"/>
    </xf>
    <xf numFmtId="0" fontId="14" fillId="6" borderId="0" xfId="0" applyFont="1" applyFill="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7">
    <dxf>
      <font>
        <b val="1"/>
        <color rgb="FF0F5132"/>
      </font>
      <fill>
        <patternFill patternType="solid">
          <bgColor rgb="FFDDEFEA"/>
        </patternFill>
      </fill>
    </dxf>
    <dxf>
      <font>
        <b val="1"/>
        <color rgb="FF8B1A1A"/>
      </font>
      <fill>
        <patternFill patternType="solid">
          <bgColor rgb="FFFBE4E1"/>
        </patternFill>
      </fill>
    </dxf>
    <dxf>
      <font>
        <b val="1"/>
        <color rgb="FF7A5A00"/>
      </font>
      <fill>
        <patternFill patternType="solid">
          <bgColor rgb="FFF4E8C6"/>
        </patternFill>
      </fill>
    </dxf>
    <dxf>
      <font>
        <name val="Calibri"/>
        <scheme val="none"/>
        <charset val="1"/>
        <family val="0"/>
        <b val="1"/>
        <sz val="11"/>
        <color rgb="FF006100"/>
      </font>
      <fill>
        <patternFill patternType="solid">
          <bgColor rgb="FFC6EFCE"/>
        </patternFill>
      </fill>
    </dxf>
    <dxf>
      <font>
        <name val="Calibri"/>
        <scheme val="none"/>
        <charset val="1"/>
        <family val="0"/>
        <b val="1"/>
        <sz val="11"/>
        <color rgb="FF9C0006"/>
      </font>
      <fill>
        <patternFill patternType="solid">
          <bgColor rgb="FFF4B0B0"/>
        </patternFill>
      </fill>
    </dxf>
    <dxf>
      <font>
        <name val="Calibri"/>
        <scheme val="none"/>
        <charset val="1"/>
        <family val="0"/>
        <sz val="11"/>
        <color rgb="FF7F6000"/>
      </font>
      <fill>
        <patternFill patternType="solid">
          <bgColor rgb="FFFFEB9C"/>
        </patternFill>
      </fill>
    </dxf>
    <dxf>
      <font>
        <name val="Calibri"/>
        <scheme val="none"/>
        <charset val="1"/>
        <family val="0"/>
        <i val="1"/>
        <sz val="11"/>
        <color rgb="FF808080"/>
      </font>
      <fill>
        <patternFill patternType="solid">
          <bgColor rgb="FFEBEDEF"/>
        </patternFill>
      </fill>
    </dxf>
    <dxf>
      <font>
        <b val="1"/>
        <color rgb="FF0F5132"/>
      </font>
      <fill>
        <patternFill patternType="solid">
          <bgColor rgb="FFE2F0D9"/>
        </patternFill>
      </fill>
    </dxf>
    <dxf>
      <font>
        <name val="Calibri"/>
        <scheme val="none"/>
        <charset val="1"/>
        <family val="0"/>
        <sz val="11"/>
        <color rgb="FF2D572C"/>
      </font>
      <fill>
        <patternFill patternType="solid">
          <bgColor rgb="FFDDEBC8"/>
        </patternFill>
      </fill>
    </dxf>
    <dxf>
      <font>
        <name val="Calibri"/>
        <scheme val="none"/>
        <charset val="1"/>
        <family val="0"/>
        <b val="1"/>
        <sz val="11"/>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9C0006"/>
      <rgbColor rgb="00006100"/>
      <rgbColor rgb="00000080"/>
      <rgbColor rgb="007F6000"/>
      <rgbColor rgb="00800080"/>
      <rgbColor rgb="002D572C"/>
      <rgbColor rgb="00DDEBC8"/>
      <rgbColor rgb="00808080"/>
      <rgbColor rgb="00EBEDEF"/>
      <rgbColor rgb="00595959"/>
      <rgbColor rgb="00FFF2CC"/>
      <rgbColor rgb="00DDEFEA"/>
      <rgbColor rgb="00660066"/>
      <rgbColor rgb="00FF8080"/>
      <rgbColor rgb="000066CC"/>
      <rgbColor rgb="00E8EEF7"/>
      <rgbColor rgb="00000080"/>
      <rgbColor rgb="00FF00FF"/>
      <rgbColor rgb="00F5F7FA"/>
      <rgbColor rgb="0000FFFF"/>
      <rgbColor rgb="00800080"/>
      <rgbColor rgb="00800000"/>
      <rgbColor rgb="00008080"/>
      <rgbColor rgb="000000FF"/>
      <rgbColor rgb="0000CCFF"/>
      <rgbColor rgb="00E8F0FA"/>
      <rgbColor rgb="00C6EFCE"/>
      <rgbColor rgb="00FFEB9C"/>
      <rgbColor rgb="00E2F0D9"/>
      <rgbColor rgb="00F4B0B0"/>
      <rgbColor rgb="00FBE4E1"/>
      <rgbColor rgb="00FFC7CE"/>
      <rgbColor rgb="003366FF"/>
      <rgbColor rgb="0033CCCC"/>
      <rgbColor rgb="0099CC00"/>
      <rgbColor rgb="00FFCC00"/>
      <rgbColor rgb="00FF9900"/>
      <rgbColor rgb="00FF6600"/>
      <rgbColor rgb="005A6473"/>
      <rgbColor rgb="00969696"/>
      <rgbColor rgb="0017365D"/>
      <rgbColor rgb="00339966"/>
      <rgbColor rgb="000F5132"/>
      <rgbColor rgb="001A202C"/>
      <rgbColor rgb="008B1A1A"/>
      <rgbColor rgb="007A5A00"/>
      <rgbColor rgb="001E3A5F"/>
      <rgbColor rgb="00152C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topLeftCell="D1" workbookViewId="0">
      <pane ySplit="4" topLeftCell="A5" activePane="bottomLeft" state="frozen"/>
      <selection/>
      <selection pane="bottomLeft" activeCell="A1" sqref="A1:L1"/>
    </sheetView>
  </sheetViews>
  <sheetFormatPr defaultColWidth="8.68181818181818" defaultRowHeight="14.5"/>
  <cols>
    <col min="1" max="1" width="26" style="1" customWidth="1"/>
    <col min="2" max="2" width="22" style="1" customWidth="1"/>
    <col min="3" max="4" width="45" style="1" customWidth="1"/>
    <col min="5" max="5" width="3" style="1" customWidth="1"/>
    <col min="6" max="6" width="45" style="1" customWidth="1"/>
  </cols>
  <sheetData>
    <row r="1" ht="30" customHeight="1" spans="1:30">
      <c r="A1" s="2" t="s">
        <v>0</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36" customHeight="1" spans="1:30">
      <c r="A4" s="53" t="s">
        <v>2</v>
      </c>
      <c r="B4" s="53"/>
      <c r="C4" s="53"/>
      <c r="D4" s="53"/>
      <c r="E4" s="53"/>
      <c r="F4" s="53"/>
      <c r="G4" s="53"/>
      <c r="H4" s="53"/>
      <c r="I4" s="53"/>
      <c r="J4" s="53"/>
      <c r="K4" s="53"/>
      <c r="L4" s="5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15" customHeight="1" spans="1:30">
      <c r="A6" s="6" t="s">
        <v>3</v>
      </c>
      <c r="B6" s="6" t="s">
        <v>4</v>
      </c>
      <c r="C6" s="6" t="s">
        <v>5</v>
      </c>
      <c r="D6" s="6" t="s">
        <v>6</v>
      </c>
      <c r="E6" s="3"/>
      <c r="F6" s="33" t="s">
        <v>7</v>
      </c>
      <c r="G6" s="33"/>
      <c r="H6" s="33"/>
      <c r="I6" s="33"/>
      <c r="J6" s="33"/>
      <c r="K6" s="33"/>
      <c r="L6" s="33"/>
      <c r="M6" s="3"/>
      <c r="N6" s="3"/>
      <c r="O6" s="3"/>
      <c r="P6" s="3"/>
      <c r="Q6" s="3"/>
      <c r="R6" s="3"/>
      <c r="S6" s="3"/>
      <c r="T6" s="3"/>
      <c r="U6" s="3"/>
      <c r="V6" s="3"/>
      <c r="W6" s="3"/>
      <c r="X6" s="3"/>
      <c r="Y6" s="3"/>
      <c r="Z6" s="3"/>
      <c r="AA6" s="3"/>
      <c r="AB6" s="3"/>
      <c r="AC6" s="3"/>
      <c r="AD6" s="3"/>
    </row>
    <row r="7" ht="23.25" customHeight="1" spans="1:30">
      <c r="A7" s="47" t="s">
        <v>8</v>
      </c>
      <c r="B7" s="54" t="s">
        <v>9</v>
      </c>
      <c r="C7" s="9" t="s">
        <v>10</v>
      </c>
      <c r="D7" s="9" t="s">
        <v>11</v>
      </c>
      <c r="E7" s="3"/>
      <c r="F7" s="33"/>
      <c r="G7" s="33"/>
      <c r="H7" s="33"/>
      <c r="I7" s="33"/>
      <c r="J7" s="33"/>
      <c r="K7" s="33"/>
      <c r="L7" s="33"/>
      <c r="M7" s="3"/>
      <c r="N7" s="3"/>
      <c r="O7" s="3"/>
      <c r="P7" s="3"/>
      <c r="Q7" s="3"/>
      <c r="R7" s="3"/>
      <c r="S7" s="3"/>
      <c r="T7" s="3"/>
      <c r="U7" s="3"/>
      <c r="V7" s="3"/>
      <c r="W7" s="3"/>
      <c r="X7" s="3"/>
      <c r="Y7" s="3"/>
      <c r="Z7" s="3"/>
      <c r="AA7" s="3"/>
      <c r="AB7" s="3"/>
      <c r="AC7" s="3"/>
      <c r="AD7" s="3"/>
    </row>
    <row r="8" ht="15" customHeight="1" spans="1:30">
      <c r="A8" s="47" t="s">
        <v>12</v>
      </c>
      <c r="B8" s="54" t="s">
        <v>13</v>
      </c>
      <c r="C8" s="9" t="s">
        <v>14</v>
      </c>
      <c r="D8" s="9" t="s">
        <v>15</v>
      </c>
      <c r="E8" s="3"/>
      <c r="F8" s="33"/>
      <c r="G8" s="33"/>
      <c r="H8" s="33"/>
      <c r="I8" s="33"/>
      <c r="J8" s="33"/>
      <c r="K8" s="33"/>
      <c r="L8" s="33"/>
      <c r="M8" s="3"/>
      <c r="N8" s="3"/>
      <c r="O8" s="3"/>
      <c r="P8" s="3"/>
      <c r="Q8" s="3"/>
      <c r="R8" s="3"/>
      <c r="S8" s="3"/>
      <c r="T8" s="3"/>
      <c r="U8" s="3"/>
      <c r="V8" s="3"/>
      <c r="W8" s="3"/>
      <c r="X8" s="3"/>
      <c r="Y8" s="3"/>
      <c r="Z8" s="3"/>
      <c r="AA8" s="3"/>
      <c r="AB8" s="3"/>
      <c r="AC8" s="3"/>
      <c r="AD8" s="3"/>
    </row>
    <row r="9" ht="15" customHeight="1" spans="1:30">
      <c r="A9" s="47" t="s">
        <v>16</v>
      </c>
      <c r="B9" s="54" t="s">
        <v>17</v>
      </c>
      <c r="C9" s="9" t="s">
        <v>18</v>
      </c>
      <c r="D9" s="9" t="s">
        <v>19</v>
      </c>
      <c r="E9" s="3"/>
      <c r="F9" s="33"/>
      <c r="G9" s="33"/>
      <c r="H9" s="33"/>
      <c r="I9" s="33"/>
      <c r="J9" s="33"/>
      <c r="K9" s="33"/>
      <c r="L9" s="33"/>
      <c r="M9" s="3"/>
      <c r="N9" s="3"/>
      <c r="O9" s="3"/>
      <c r="P9" s="3"/>
      <c r="Q9" s="3"/>
      <c r="R9" s="3"/>
      <c r="S9" s="3"/>
      <c r="T9" s="3"/>
      <c r="U9" s="3"/>
      <c r="V9" s="3"/>
      <c r="W9" s="3"/>
      <c r="X9" s="3"/>
      <c r="Y9" s="3"/>
      <c r="Z9" s="3"/>
      <c r="AA9" s="3"/>
      <c r="AB9" s="3"/>
      <c r="AC9" s="3"/>
      <c r="AD9" s="3"/>
    </row>
    <row r="10" ht="15" customHeight="1" spans="1:30">
      <c r="A10" s="47" t="s">
        <v>20</v>
      </c>
      <c r="B10" s="54" t="s">
        <v>21</v>
      </c>
      <c r="C10" s="9" t="s">
        <v>22</v>
      </c>
      <c r="D10" s="9" t="s">
        <v>23</v>
      </c>
      <c r="E10" s="3"/>
      <c r="F10" s="33"/>
      <c r="G10" s="33"/>
      <c r="H10" s="33"/>
      <c r="I10" s="33"/>
      <c r="J10" s="33"/>
      <c r="K10" s="33"/>
      <c r="L10" s="33"/>
      <c r="M10" s="3"/>
      <c r="N10" s="3"/>
      <c r="O10" s="3"/>
      <c r="P10" s="3"/>
      <c r="Q10" s="3"/>
      <c r="R10" s="3"/>
      <c r="S10" s="3"/>
      <c r="T10" s="3"/>
      <c r="U10" s="3"/>
      <c r="V10" s="3"/>
      <c r="W10" s="3"/>
      <c r="X10" s="3"/>
      <c r="Y10" s="3"/>
      <c r="Z10" s="3"/>
      <c r="AA10" s="3"/>
      <c r="AB10" s="3"/>
      <c r="AC10" s="3"/>
      <c r="AD10" s="3"/>
    </row>
    <row r="11" ht="15" customHeight="1" spans="1:30">
      <c r="A11" s="47" t="s">
        <v>24</v>
      </c>
      <c r="B11" s="54" t="s">
        <v>25</v>
      </c>
      <c r="C11" s="9" t="s">
        <v>26</v>
      </c>
      <c r="D11" s="9" t="s">
        <v>27</v>
      </c>
      <c r="E11" s="3"/>
      <c r="F11" s="3"/>
      <c r="G11" s="3"/>
      <c r="H11" s="3"/>
      <c r="I11" s="3"/>
      <c r="J11" s="3"/>
      <c r="K11" s="3"/>
      <c r="L11" s="3"/>
      <c r="M11" s="3"/>
      <c r="N11" s="3"/>
      <c r="O11" s="3"/>
      <c r="P11" s="3"/>
      <c r="Q11" s="3"/>
      <c r="R11" s="3"/>
      <c r="S11" s="3"/>
      <c r="T11" s="3"/>
      <c r="U11" s="3"/>
      <c r="V11" s="3"/>
      <c r="W11" s="3"/>
      <c r="X11" s="3"/>
      <c r="Y11" s="3"/>
      <c r="Z11" s="3"/>
      <c r="AA11" s="3"/>
      <c r="AB11" s="3"/>
      <c r="AC11" s="3"/>
      <c r="AD11" s="3"/>
    </row>
    <row r="12" ht="23.25" customHeight="1" spans="1:30">
      <c r="A12" s="47" t="s">
        <v>28</v>
      </c>
      <c r="B12" s="54" t="s">
        <v>29</v>
      </c>
      <c r="C12" s="9" t="s">
        <v>30</v>
      </c>
      <c r="D12" s="9" t="s">
        <v>31</v>
      </c>
      <c r="E12" s="3"/>
      <c r="F12" s="33" t="s">
        <v>32</v>
      </c>
      <c r="G12" s="33"/>
      <c r="H12" s="33"/>
      <c r="I12" s="33"/>
      <c r="J12" s="33"/>
      <c r="K12" s="33"/>
      <c r="L12" s="33"/>
      <c r="M12" s="3"/>
      <c r="N12" s="3"/>
      <c r="O12" s="3"/>
      <c r="P12" s="3"/>
      <c r="Q12" s="3"/>
      <c r="R12" s="3"/>
      <c r="S12" s="3"/>
      <c r="T12" s="3"/>
      <c r="U12" s="3"/>
      <c r="V12" s="3"/>
      <c r="W12" s="3"/>
      <c r="X12" s="3"/>
      <c r="Y12" s="3"/>
      <c r="Z12" s="3"/>
      <c r="AA12" s="3"/>
      <c r="AB12" s="3"/>
      <c r="AC12" s="3"/>
      <c r="AD12" s="3"/>
    </row>
    <row r="13" ht="15" customHeight="1" spans="1:30">
      <c r="A13" s="47" t="s">
        <v>33</v>
      </c>
      <c r="B13" s="54" t="s">
        <v>34</v>
      </c>
      <c r="C13" s="9" t="s">
        <v>35</v>
      </c>
      <c r="D13" s="9" t="s">
        <v>36</v>
      </c>
      <c r="E13" s="3"/>
      <c r="F13" s="33"/>
      <c r="G13" s="33"/>
      <c r="H13" s="33"/>
      <c r="I13" s="33"/>
      <c r="J13" s="33"/>
      <c r="K13" s="33"/>
      <c r="L13" s="33"/>
      <c r="M13" s="3"/>
      <c r="N13" s="3"/>
      <c r="O13" s="3"/>
      <c r="P13" s="3"/>
      <c r="Q13" s="3"/>
      <c r="R13" s="3"/>
      <c r="S13" s="3"/>
      <c r="T13" s="3"/>
      <c r="U13" s="3"/>
      <c r="V13" s="3"/>
      <c r="W13" s="3"/>
      <c r="X13" s="3"/>
      <c r="Y13" s="3"/>
      <c r="Z13" s="3"/>
      <c r="AA13" s="3"/>
      <c r="AB13" s="3"/>
      <c r="AC13" s="3"/>
      <c r="AD13" s="3"/>
    </row>
    <row r="14" ht="15" customHeight="1" spans="1:30">
      <c r="A14" s="47" t="s">
        <v>37</v>
      </c>
      <c r="B14" s="54" t="s">
        <v>38</v>
      </c>
      <c r="C14" s="9" t="s">
        <v>39</v>
      </c>
      <c r="D14" s="9" t="s">
        <v>40</v>
      </c>
      <c r="E14" s="3"/>
      <c r="F14" s="33"/>
      <c r="G14" s="33"/>
      <c r="H14" s="33"/>
      <c r="I14" s="33"/>
      <c r="J14" s="33"/>
      <c r="K14" s="33"/>
      <c r="L14" s="33"/>
      <c r="M14" s="3"/>
      <c r="N14" s="3"/>
      <c r="O14" s="3"/>
      <c r="P14" s="3"/>
      <c r="Q14" s="3"/>
      <c r="R14" s="3"/>
      <c r="S14" s="3"/>
      <c r="T14" s="3"/>
      <c r="U14" s="3"/>
      <c r="V14" s="3"/>
      <c r="W14" s="3"/>
      <c r="X14" s="3"/>
      <c r="Y14" s="3"/>
      <c r="Z14" s="3"/>
      <c r="AA14" s="3"/>
      <c r="AB14" s="3"/>
      <c r="AC14" s="3"/>
      <c r="AD14" s="3"/>
    </row>
    <row r="15" ht="23.25" customHeight="1" spans="1:30">
      <c r="A15" s="47" t="s">
        <v>41</v>
      </c>
      <c r="B15" s="54" t="s">
        <v>42</v>
      </c>
      <c r="C15" s="9" t="s">
        <v>43</v>
      </c>
      <c r="D15" s="9" t="s">
        <v>44</v>
      </c>
      <c r="E15" s="3"/>
      <c r="F15" s="33"/>
      <c r="G15" s="33"/>
      <c r="H15" s="33"/>
      <c r="I15" s="33"/>
      <c r="J15" s="33"/>
      <c r="K15" s="33"/>
      <c r="L15" s="33"/>
      <c r="M15" s="3"/>
      <c r="N15" s="3"/>
      <c r="O15" s="3"/>
      <c r="P15" s="3"/>
      <c r="Q15" s="3"/>
      <c r="R15" s="3"/>
      <c r="S15" s="3"/>
      <c r="T15" s="3"/>
      <c r="U15" s="3"/>
      <c r="V15" s="3"/>
      <c r="W15" s="3"/>
      <c r="X15" s="3"/>
      <c r="Y15" s="3"/>
      <c r="Z15" s="3"/>
      <c r="AA15" s="3"/>
      <c r="AB15" s="3"/>
      <c r="AC15" s="3"/>
      <c r="AD15" s="3"/>
    </row>
    <row r="16" ht="15" customHeight="1" spans="1:30">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ht="15" customHeight="1" spans="1:30">
      <c r="A17" s="55" t="s">
        <v>45</v>
      </c>
      <c r="B17" s="55"/>
      <c r="C17" s="55"/>
      <c r="D17" s="55"/>
      <c r="E17" s="55"/>
      <c r="F17" s="55"/>
      <c r="G17" s="55"/>
      <c r="H17" s="55"/>
      <c r="I17" s="55"/>
      <c r="J17" s="55"/>
      <c r="K17" s="55"/>
      <c r="L17" s="55"/>
      <c r="M17" s="3"/>
      <c r="N17" s="3"/>
      <c r="O17" s="3"/>
      <c r="P17" s="3"/>
      <c r="Q17" s="3"/>
      <c r="R17" s="3"/>
      <c r="S17" s="3"/>
      <c r="T17" s="3"/>
      <c r="U17" s="3"/>
      <c r="V17" s="3"/>
      <c r="W17" s="3"/>
      <c r="X17" s="3"/>
      <c r="Y17" s="3"/>
      <c r="Z17" s="3"/>
      <c r="AA17" s="3"/>
      <c r="AB17" s="3"/>
      <c r="AC17" s="3"/>
      <c r="AD17" s="3"/>
    </row>
    <row r="18" ht="23.25" customHeight="1" spans="1:30">
      <c r="A18" s="56" t="s">
        <v>46</v>
      </c>
      <c r="B18" s="9" t="s">
        <v>47</v>
      </c>
      <c r="C18" s="9" t="s">
        <v>48</v>
      </c>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ht="23.25" customHeight="1" spans="1:30">
      <c r="A19" s="56" t="s">
        <v>49</v>
      </c>
      <c r="B19" s="9" t="s">
        <v>50</v>
      </c>
      <c r="C19" s="9" t="s">
        <v>51</v>
      </c>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ht="23.25" customHeight="1" spans="1:30">
      <c r="A20" s="56" t="s">
        <v>52</v>
      </c>
      <c r="B20" s="9" t="s">
        <v>53</v>
      </c>
      <c r="C20" s="9" t="s">
        <v>54</v>
      </c>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34.5" customHeight="1" spans="1:30">
      <c r="A21" s="56" t="s">
        <v>55</v>
      </c>
      <c r="B21" s="9" t="s">
        <v>56</v>
      </c>
      <c r="C21" s="9" t="s">
        <v>57</v>
      </c>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ht="34.5" customHeight="1" spans="1:30">
      <c r="A22" s="56" t="s">
        <v>58</v>
      </c>
      <c r="B22" s="9" t="s">
        <v>59</v>
      </c>
      <c r="C22" s="9" t="s">
        <v>60</v>
      </c>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ht="15" customHeight="1" spans="1:30">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ht="15" customHeight="1" spans="1:30">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ht="15" customHeight="1" spans="1:30">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ht="15" customHeight="1" spans="1:3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6">
    <mergeCell ref="A1:L1"/>
    <mergeCell ref="A2:L2"/>
    <mergeCell ref="A4:L4"/>
    <mergeCell ref="A17:L17"/>
    <mergeCell ref="F6:L10"/>
    <mergeCell ref="F12:L15"/>
  </mergeCells>
  <pageMargins left="0.7" right="0.7" top="0.75" bottom="0.75"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ySplit="4" topLeftCell="A5" activePane="bottomLeft" state="frozen"/>
      <selection/>
      <selection pane="bottomLeft" activeCell="B15" sqref="B15"/>
    </sheetView>
  </sheetViews>
  <sheetFormatPr defaultColWidth="8.68181818181818" defaultRowHeight="14.5"/>
  <cols>
    <col min="1" max="1" width="26" style="1" customWidth="1"/>
    <col min="2" max="2" width="40" style="1" customWidth="1"/>
    <col min="3" max="3" width="45" style="1" customWidth="1"/>
    <col min="4" max="4" width="3" style="1" customWidth="1"/>
    <col min="5" max="5" width="42" style="1" customWidth="1"/>
  </cols>
  <sheetData>
    <row r="1" ht="30" customHeight="1" spans="1:30">
      <c r="A1" s="2" t="s">
        <v>9</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61</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6" t="s">
        <v>62</v>
      </c>
      <c r="B4" s="6" t="s">
        <v>63</v>
      </c>
      <c r="C4" s="6" t="s">
        <v>64</v>
      </c>
      <c r="D4" s="3"/>
      <c r="E4" s="33" t="s">
        <v>65</v>
      </c>
      <c r="F4" s="33"/>
      <c r="G4" s="33"/>
      <c r="H4" s="33"/>
      <c r="I4" s="33"/>
      <c r="J4" s="33"/>
      <c r="K4" s="33"/>
      <c r="L4" s="33"/>
      <c r="M4" s="3"/>
      <c r="N4" s="3"/>
      <c r="O4" s="3"/>
      <c r="P4" s="3"/>
      <c r="Q4" s="3"/>
      <c r="R4" s="3"/>
      <c r="S4" s="3"/>
      <c r="T4" s="3"/>
      <c r="U4" s="3"/>
      <c r="V4" s="3"/>
      <c r="W4" s="3"/>
      <c r="X4" s="3"/>
      <c r="Y4" s="3"/>
      <c r="Z4" s="3"/>
      <c r="AA4" s="3"/>
      <c r="AB4" s="3"/>
      <c r="AC4" s="3"/>
      <c r="AD4" s="3"/>
    </row>
    <row r="5" ht="15" customHeight="1" spans="1:30">
      <c r="A5" s="32" t="s">
        <v>66</v>
      </c>
      <c r="B5" s="35" t="s">
        <v>67</v>
      </c>
      <c r="C5" s="49" t="s">
        <v>68</v>
      </c>
      <c r="D5" s="3"/>
      <c r="E5" s="33"/>
      <c r="F5" s="33"/>
      <c r="G5" s="33"/>
      <c r="H5" s="33"/>
      <c r="I5" s="33"/>
      <c r="J5" s="33"/>
      <c r="K5" s="33"/>
      <c r="L5" s="33"/>
      <c r="M5" s="3"/>
      <c r="N5" s="3"/>
      <c r="O5" s="3"/>
      <c r="P5" s="3"/>
      <c r="Q5" s="3"/>
      <c r="R5" s="3"/>
      <c r="S5" s="3"/>
      <c r="T5" s="3"/>
      <c r="U5" s="3"/>
      <c r="V5" s="3"/>
      <c r="W5" s="3"/>
      <c r="X5" s="3"/>
      <c r="Y5" s="3"/>
      <c r="Z5" s="3"/>
      <c r="AA5" s="3"/>
      <c r="AB5" s="3"/>
      <c r="AC5" s="3"/>
      <c r="AD5" s="3"/>
    </row>
    <row r="6" ht="15" customHeight="1" spans="1:30">
      <c r="A6" s="32" t="s">
        <v>69</v>
      </c>
      <c r="B6" s="35"/>
      <c r="C6" s="49" t="s">
        <v>70</v>
      </c>
      <c r="D6" s="3"/>
      <c r="E6" s="33"/>
      <c r="F6" s="33"/>
      <c r="G6" s="33"/>
      <c r="H6" s="33"/>
      <c r="I6" s="33"/>
      <c r="J6" s="33"/>
      <c r="K6" s="33"/>
      <c r="L6" s="33"/>
      <c r="M6" s="3"/>
      <c r="N6" s="3"/>
      <c r="O6" s="3"/>
      <c r="P6" s="3"/>
      <c r="Q6" s="3"/>
      <c r="R6" s="3"/>
      <c r="S6" s="3"/>
      <c r="T6" s="3"/>
      <c r="U6" s="3"/>
      <c r="V6" s="3"/>
      <c r="W6" s="3"/>
      <c r="X6" s="3"/>
      <c r="Y6" s="3"/>
      <c r="Z6" s="3"/>
      <c r="AA6" s="3"/>
      <c r="AB6" s="3"/>
      <c r="AC6" s="3"/>
      <c r="AD6" s="3"/>
    </row>
    <row r="7" ht="15" customHeight="1" spans="1:30">
      <c r="A7" s="32" t="s">
        <v>71</v>
      </c>
      <c r="B7" s="35"/>
      <c r="C7" s="49" t="s">
        <v>72</v>
      </c>
      <c r="D7" s="3"/>
      <c r="E7" s="33"/>
      <c r="F7" s="33"/>
      <c r="G7" s="33"/>
      <c r="H7" s="33"/>
      <c r="I7" s="33"/>
      <c r="J7" s="33"/>
      <c r="K7" s="33"/>
      <c r="L7" s="33"/>
      <c r="M7" s="3"/>
      <c r="N7" s="3"/>
      <c r="O7" s="3"/>
      <c r="P7" s="3"/>
      <c r="Q7" s="3"/>
      <c r="R7" s="3"/>
      <c r="S7" s="3"/>
      <c r="T7" s="3"/>
      <c r="U7" s="3"/>
      <c r="V7" s="3"/>
      <c r="W7" s="3"/>
      <c r="X7" s="3"/>
      <c r="Y7" s="3"/>
      <c r="Z7" s="3"/>
      <c r="AA7" s="3"/>
      <c r="AB7" s="3"/>
      <c r="AC7" s="3"/>
      <c r="AD7" s="3"/>
    </row>
    <row r="8" ht="15" customHeight="1" spans="1:30">
      <c r="A8" s="32" t="s">
        <v>73</v>
      </c>
      <c r="B8" s="35"/>
      <c r="C8" s="49" t="s">
        <v>74</v>
      </c>
      <c r="D8" s="3"/>
      <c r="E8" s="33"/>
      <c r="F8" s="33"/>
      <c r="G8" s="33"/>
      <c r="H8" s="33"/>
      <c r="I8" s="33"/>
      <c r="J8" s="33"/>
      <c r="K8" s="33"/>
      <c r="L8" s="33"/>
      <c r="M8" s="3"/>
      <c r="N8" s="3"/>
      <c r="O8" s="3"/>
      <c r="P8" s="3"/>
      <c r="Q8" s="3"/>
      <c r="R8" s="3"/>
      <c r="S8" s="3"/>
      <c r="T8" s="3"/>
      <c r="U8" s="3"/>
      <c r="V8" s="3"/>
      <c r="W8" s="3"/>
      <c r="X8" s="3"/>
      <c r="Y8" s="3"/>
      <c r="Z8" s="3"/>
      <c r="AA8" s="3"/>
      <c r="AB8" s="3"/>
      <c r="AC8" s="3"/>
      <c r="AD8" s="3"/>
    </row>
    <row r="9" ht="15" customHeight="1" spans="1:30">
      <c r="A9" s="32" t="s">
        <v>75</v>
      </c>
      <c r="B9" s="50" t="s">
        <v>76</v>
      </c>
      <c r="C9" s="49" t="s">
        <v>77</v>
      </c>
      <c r="D9" s="3"/>
      <c r="E9" s="3"/>
      <c r="F9" s="3"/>
      <c r="G9" s="3"/>
      <c r="H9" s="3"/>
      <c r="I9" s="3"/>
      <c r="J9" s="3"/>
      <c r="K9" s="3"/>
      <c r="L9" s="3"/>
      <c r="M9" s="3"/>
      <c r="N9" s="3"/>
      <c r="O9" s="3"/>
      <c r="P9" s="3"/>
      <c r="Q9" s="3"/>
      <c r="R9" s="3"/>
      <c r="S9" s="3"/>
      <c r="T9" s="3"/>
      <c r="U9" s="3"/>
      <c r="V9" s="3"/>
      <c r="W9" s="3"/>
      <c r="X9" s="3"/>
      <c r="Y9" s="3"/>
      <c r="Z9" s="3"/>
      <c r="AA9" s="3"/>
      <c r="AB9" s="3"/>
      <c r="AC9" s="3"/>
      <c r="AD9" s="3"/>
    </row>
    <row r="10" ht="15" customHeight="1" spans="1:30">
      <c r="A10" s="32" t="s">
        <v>78</v>
      </c>
      <c r="B10" s="36" t="s">
        <v>79</v>
      </c>
      <c r="C10" s="49" t="s">
        <v>80</v>
      </c>
      <c r="D10" s="3"/>
      <c r="E10" s="33" t="s">
        <v>81</v>
      </c>
      <c r="F10" s="33"/>
      <c r="G10" s="33"/>
      <c r="H10" s="33"/>
      <c r="I10" s="33"/>
      <c r="J10" s="33"/>
      <c r="K10" s="33"/>
      <c r="L10" s="33"/>
      <c r="M10" s="3"/>
      <c r="N10" s="3"/>
      <c r="O10" s="3"/>
      <c r="P10" s="3"/>
      <c r="Q10" s="3"/>
      <c r="R10" s="3"/>
      <c r="S10" s="3"/>
      <c r="T10" s="3"/>
      <c r="U10" s="3"/>
      <c r="V10" s="3"/>
      <c r="W10" s="3"/>
      <c r="X10" s="3"/>
      <c r="Y10" s="3"/>
      <c r="Z10" s="3"/>
      <c r="AA10" s="3"/>
      <c r="AB10" s="3"/>
      <c r="AC10" s="3"/>
      <c r="AD10" s="3"/>
    </row>
    <row r="11" ht="15" customHeight="1" spans="1:30">
      <c r="A11" s="32" t="s">
        <v>82</v>
      </c>
      <c r="B11" s="36"/>
      <c r="C11" s="49" t="s">
        <v>83</v>
      </c>
      <c r="D11" s="3"/>
      <c r="E11" s="33"/>
      <c r="F11" s="33"/>
      <c r="G11" s="33"/>
      <c r="H11" s="33"/>
      <c r="I11" s="33"/>
      <c r="J11" s="33"/>
      <c r="K11" s="33"/>
      <c r="L11" s="33"/>
      <c r="M11" s="3"/>
      <c r="N11" s="3"/>
      <c r="O11" s="3"/>
      <c r="P11" s="3"/>
      <c r="Q11" s="3"/>
      <c r="R11" s="3"/>
      <c r="S11" s="3"/>
      <c r="T11" s="3"/>
      <c r="U11" s="3"/>
      <c r="V11" s="3"/>
      <c r="W11" s="3"/>
      <c r="X11" s="3"/>
      <c r="Y11" s="3"/>
      <c r="Z11" s="3"/>
      <c r="AA11" s="3"/>
      <c r="AB11" s="3"/>
      <c r="AC11" s="3"/>
      <c r="AD11" s="3"/>
    </row>
    <row r="12" ht="15" customHeight="1" spans="1:30">
      <c r="A12" s="32" t="s">
        <v>84</v>
      </c>
      <c r="B12" s="51"/>
      <c r="C12" s="49" t="s">
        <v>85</v>
      </c>
      <c r="D12" s="3"/>
      <c r="E12" s="33"/>
      <c r="F12" s="33"/>
      <c r="G12" s="33"/>
      <c r="H12" s="33"/>
      <c r="I12" s="33"/>
      <c r="J12" s="33"/>
      <c r="K12" s="33"/>
      <c r="L12" s="33"/>
      <c r="M12" s="3"/>
      <c r="N12" s="3"/>
      <c r="O12" s="3"/>
      <c r="P12" s="3"/>
      <c r="Q12" s="3"/>
      <c r="R12" s="3"/>
      <c r="S12" s="3"/>
      <c r="T12" s="3"/>
      <c r="U12" s="3"/>
      <c r="V12" s="3"/>
      <c r="W12" s="3"/>
      <c r="X12" s="3"/>
      <c r="Y12" s="3"/>
      <c r="Z12" s="3"/>
      <c r="AA12" s="3"/>
      <c r="AB12" s="3"/>
      <c r="AC12" s="3"/>
      <c r="AD12" s="3"/>
    </row>
    <row r="13" ht="15" customHeight="1" spans="1:30">
      <c r="A13" s="32" t="s">
        <v>86</v>
      </c>
      <c r="B13" s="51"/>
      <c r="C13" s="49" t="s">
        <v>87</v>
      </c>
      <c r="D13" s="3"/>
      <c r="E13" s="33"/>
      <c r="F13" s="33"/>
      <c r="G13" s="33"/>
      <c r="H13" s="33"/>
      <c r="I13" s="33"/>
      <c r="J13" s="33"/>
      <c r="K13" s="33"/>
      <c r="L13" s="33"/>
      <c r="M13" s="3"/>
      <c r="N13" s="3"/>
      <c r="O13" s="3"/>
      <c r="P13" s="3"/>
      <c r="Q13" s="3"/>
      <c r="R13" s="3"/>
      <c r="S13" s="3"/>
      <c r="T13" s="3"/>
      <c r="U13" s="3"/>
      <c r="V13" s="3"/>
      <c r="W13" s="3"/>
      <c r="X13" s="3"/>
      <c r="Y13" s="3"/>
      <c r="Z13" s="3"/>
      <c r="AA13" s="3"/>
      <c r="AB13" s="3"/>
      <c r="AC13" s="3"/>
      <c r="AD13" s="3"/>
    </row>
    <row r="14" ht="15" customHeight="1" spans="1:30">
      <c r="A14" s="32" t="s">
        <v>88</v>
      </c>
      <c r="B14" s="52"/>
      <c r="C14" s="49" t="s">
        <v>89</v>
      </c>
      <c r="D14" s="3"/>
      <c r="E14" s="33"/>
      <c r="F14" s="33"/>
      <c r="G14" s="33"/>
      <c r="H14" s="33"/>
      <c r="I14" s="33"/>
      <c r="J14" s="33"/>
      <c r="K14" s="33"/>
      <c r="L14" s="33"/>
      <c r="M14" s="3"/>
      <c r="N14" s="3"/>
      <c r="O14" s="3"/>
      <c r="P14" s="3"/>
      <c r="Q14" s="3"/>
      <c r="R14" s="3"/>
      <c r="S14" s="3"/>
      <c r="T14" s="3"/>
      <c r="U14" s="3"/>
      <c r="V14" s="3"/>
      <c r="W14" s="3"/>
      <c r="X14" s="3"/>
      <c r="Y14" s="3"/>
      <c r="Z14" s="3"/>
      <c r="AA14" s="3"/>
      <c r="AB14" s="3"/>
      <c r="AC14" s="3"/>
      <c r="AD14" s="3"/>
    </row>
    <row r="15" ht="15" customHeight="1" spans="1:30">
      <c r="A15" s="32" t="s">
        <v>90</v>
      </c>
      <c r="B15" s="35">
        <v>70</v>
      </c>
      <c r="C15" s="49" t="s">
        <v>91</v>
      </c>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ht="15" customHeight="1" spans="1:30">
      <c r="A16" s="32" t="s">
        <v>92</v>
      </c>
      <c r="B16" s="35">
        <v>42</v>
      </c>
      <c r="C16" s="49" t="s">
        <v>93</v>
      </c>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ht="15" customHeight="1" spans="1:30">
      <c r="A17" s="32" t="s">
        <v>94</v>
      </c>
      <c r="B17" s="35" t="s">
        <v>95</v>
      </c>
      <c r="C17" s="49" t="s">
        <v>96</v>
      </c>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ht="15" customHeight="1" spans="1:30">
      <c r="A18" s="32" t="s">
        <v>97</v>
      </c>
      <c r="B18" s="35"/>
      <c r="C18" s="49" t="s">
        <v>98</v>
      </c>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ht="15" customHeight="1" spans="1:30">
      <c r="A19" s="32" t="s">
        <v>99</v>
      </c>
      <c r="B19" s="35" t="s">
        <v>100</v>
      </c>
      <c r="C19" s="49" t="s">
        <v>101</v>
      </c>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ht="15" customHeight="1" spans="1:3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15" customHeight="1" spans="1:30">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ht="15" customHeight="1" spans="1:30">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ht="15" customHeight="1" spans="1:30">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ht="15" customHeight="1" spans="1:30">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ht="15" customHeight="1" spans="1:30">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ht="15" customHeight="1" spans="1:3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4">
    <mergeCell ref="A1:L1"/>
    <mergeCell ref="A2:L2"/>
    <mergeCell ref="E4:L8"/>
    <mergeCell ref="E10:L14"/>
  </mergeCells>
  <dataValidations count="2">
    <dataValidation type="list" allowBlank="1" errorTitle="Procurement Method" error="Pick from the list, or add your value to the LISTS sheet (column D)." promptTitle="Procurement Method" prompt="Select the procurement method, or type your own if not listed." sqref="B9">
      <formula1>ProcurementMethodList</formula1>
    </dataValidation>
    <dataValidation type="list" allowBlank="1" errorTitle="Tender Type" error="Pick from the list, or add your value to the LISTS sheet (column C)." promptTitle="Tender Type" prompt="Select the closest tender type, or type your own if not listed." sqref="B10">
      <formula1>TenderTypeList</formula1>
    </dataValidation>
  </dataValidations>
  <pageMargins left="0.7" right="0.7" top="0.75" bottom="0.75"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2" ySplit="6" topLeftCell="C7" activePane="bottomRight" state="frozen"/>
      <selection/>
      <selection pane="topRight"/>
      <selection pane="bottomLeft"/>
      <selection pane="bottomRight" activeCell="A1" sqref="A1:L1"/>
    </sheetView>
  </sheetViews>
  <sheetFormatPr defaultColWidth="8.68181818181818" defaultRowHeight="14.5"/>
  <cols>
    <col min="1" max="1" width="5" style="1" customWidth="1"/>
    <col min="2" max="2" width="30" style="1" customWidth="1"/>
    <col min="3" max="3" width="22" style="1" customWidth="1"/>
    <col min="4" max="4" width="30" style="1" customWidth="1"/>
    <col min="5" max="5" width="16" style="1" customWidth="1"/>
    <col min="6" max="6" width="15" style="1" customWidth="1"/>
    <col min="7" max="7" width="16" style="1" customWidth="1"/>
    <col min="8" max="8" width="40" style="1" customWidth="1"/>
  </cols>
  <sheetData>
    <row r="1" ht="30" customHeight="1" spans="1:30">
      <c r="A1" s="2" t="s">
        <v>13</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102</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15" customHeight="1" spans="1:30">
      <c r="A6" s="6" t="s">
        <v>103</v>
      </c>
      <c r="B6" s="6" t="s">
        <v>104</v>
      </c>
      <c r="C6" s="6" t="s">
        <v>105</v>
      </c>
      <c r="D6" s="6" t="s">
        <v>82</v>
      </c>
      <c r="E6" s="6" t="s">
        <v>106</v>
      </c>
      <c r="F6" s="6" t="s">
        <v>107</v>
      </c>
      <c r="G6" s="6" t="s">
        <v>108</v>
      </c>
      <c r="H6" s="6" t="s">
        <v>109</v>
      </c>
      <c r="I6" s="3"/>
      <c r="J6" s="3"/>
      <c r="K6" s="3"/>
      <c r="L6" s="3"/>
      <c r="M6" s="3"/>
      <c r="N6" s="3"/>
      <c r="O6" s="3"/>
      <c r="P6" s="3"/>
      <c r="Q6" s="3"/>
      <c r="R6" s="3"/>
      <c r="S6" s="3"/>
      <c r="T6" s="3"/>
      <c r="U6" s="3"/>
      <c r="V6" s="3"/>
      <c r="W6" s="3"/>
      <c r="X6" s="3"/>
      <c r="Y6" s="3"/>
      <c r="Z6" s="3"/>
      <c r="AA6" s="3"/>
      <c r="AB6" s="3"/>
      <c r="AC6" s="3"/>
      <c r="AD6" s="3"/>
    </row>
    <row r="7" ht="15" customHeight="1" spans="1:30">
      <c r="A7" s="47">
        <v>1</v>
      </c>
      <c r="B7" s="35"/>
      <c r="C7" s="35"/>
      <c r="D7" s="35"/>
      <c r="E7" s="35"/>
      <c r="F7" s="35"/>
      <c r="G7" s="35"/>
      <c r="H7" s="35"/>
      <c r="I7" s="3"/>
      <c r="J7" s="3"/>
      <c r="K7" s="3"/>
      <c r="L7" s="3"/>
      <c r="M7" s="3"/>
      <c r="N7" s="3"/>
      <c r="O7" s="3"/>
      <c r="P7" s="3"/>
      <c r="Q7" s="3"/>
      <c r="R7" s="3"/>
      <c r="S7" s="3"/>
      <c r="T7" s="3"/>
      <c r="U7" s="3"/>
      <c r="V7" s="3"/>
      <c r="W7" s="3"/>
      <c r="X7" s="3"/>
      <c r="Y7" s="3"/>
      <c r="Z7" s="3"/>
      <c r="AA7" s="3"/>
      <c r="AB7" s="3"/>
      <c r="AC7" s="3"/>
      <c r="AD7" s="3"/>
    </row>
    <row r="8" ht="15" customHeight="1" spans="1:30">
      <c r="A8" s="47">
        <v>2</v>
      </c>
      <c r="B8" s="35"/>
      <c r="C8" s="35"/>
      <c r="D8" s="35"/>
      <c r="E8" s="35"/>
      <c r="F8" s="35"/>
      <c r="G8" s="35"/>
      <c r="H8" s="35"/>
      <c r="I8" s="3"/>
      <c r="J8" s="3"/>
      <c r="K8" s="3"/>
      <c r="L8" s="3"/>
      <c r="M8" s="3"/>
      <c r="N8" s="3"/>
      <c r="O8" s="3"/>
      <c r="P8" s="3"/>
      <c r="Q8" s="3"/>
      <c r="R8" s="3"/>
      <c r="S8" s="3"/>
      <c r="T8" s="3"/>
      <c r="U8" s="3"/>
      <c r="V8" s="3"/>
      <c r="W8" s="3"/>
      <c r="X8" s="3"/>
      <c r="Y8" s="3"/>
      <c r="Z8" s="3"/>
      <c r="AA8" s="3"/>
      <c r="AB8" s="3"/>
      <c r="AC8" s="3"/>
      <c r="AD8" s="3"/>
    </row>
    <row r="9" ht="15" customHeight="1" spans="1:30">
      <c r="A9" s="47">
        <v>3</v>
      </c>
      <c r="B9" s="35"/>
      <c r="C9" s="35"/>
      <c r="D9" s="35"/>
      <c r="E9" s="35"/>
      <c r="F9" s="35"/>
      <c r="G9" s="35"/>
      <c r="H9" s="35"/>
      <c r="I9" s="3"/>
      <c r="J9" s="3"/>
      <c r="K9" s="3"/>
      <c r="L9" s="3"/>
      <c r="M9" s="3"/>
      <c r="N9" s="3"/>
      <c r="O9" s="3"/>
      <c r="P9" s="3"/>
      <c r="Q9" s="3"/>
      <c r="R9" s="3"/>
      <c r="S9" s="3"/>
      <c r="T9" s="3"/>
      <c r="U9" s="3"/>
      <c r="V9" s="3"/>
      <c r="W9" s="3"/>
      <c r="X9" s="3"/>
      <c r="Y9" s="3"/>
      <c r="Z9" s="3"/>
      <c r="AA9" s="3"/>
      <c r="AB9" s="3"/>
      <c r="AC9" s="3"/>
      <c r="AD9" s="3"/>
    </row>
    <row r="10" ht="15" customHeight="1" spans="1:30">
      <c r="A10" s="47">
        <v>4</v>
      </c>
      <c r="B10" s="35"/>
      <c r="C10" s="35"/>
      <c r="D10" s="35"/>
      <c r="E10" s="35"/>
      <c r="F10" s="35"/>
      <c r="G10" s="35"/>
      <c r="H10" s="35"/>
      <c r="I10" s="3"/>
      <c r="J10" s="3"/>
      <c r="K10" s="3"/>
      <c r="L10" s="3"/>
      <c r="M10" s="3"/>
      <c r="N10" s="3"/>
      <c r="O10" s="3"/>
      <c r="P10" s="3"/>
      <c r="Q10" s="3"/>
      <c r="R10" s="3"/>
      <c r="S10" s="3"/>
      <c r="T10" s="3"/>
      <c r="U10" s="3"/>
      <c r="V10" s="3"/>
      <c r="W10" s="3"/>
      <c r="X10" s="3"/>
      <c r="Y10" s="3"/>
      <c r="Z10" s="3"/>
      <c r="AA10" s="3"/>
      <c r="AB10" s="3"/>
      <c r="AC10" s="3"/>
      <c r="AD10" s="3"/>
    </row>
    <row r="11" ht="15" customHeight="1" spans="1:30">
      <c r="A11" s="47">
        <v>5</v>
      </c>
      <c r="B11" s="35"/>
      <c r="C11" s="35"/>
      <c r="D11" s="35"/>
      <c r="E11" s="35"/>
      <c r="F11" s="35"/>
      <c r="G11" s="35"/>
      <c r="H11" s="35"/>
      <c r="I11" s="3"/>
      <c r="J11" s="3"/>
      <c r="K11" s="3"/>
      <c r="L11" s="3"/>
      <c r="M11" s="3"/>
      <c r="N11" s="3"/>
      <c r="O11" s="3"/>
      <c r="P11" s="3"/>
      <c r="Q11" s="3"/>
      <c r="R11" s="3"/>
      <c r="S11" s="3"/>
      <c r="T11" s="3"/>
      <c r="U11" s="3"/>
      <c r="V11" s="3"/>
      <c r="W11" s="3"/>
      <c r="X11" s="3"/>
      <c r="Y11" s="3"/>
      <c r="Z11" s="3"/>
      <c r="AA11" s="3"/>
      <c r="AB11" s="3"/>
      <c r="AC11" s="3"/>
      <c r="AD11" s="3"/>
    </row>
    <row r="12" ht="15" customHeight="1" spans="1:30">
      <c r="A12" s="47">
        <v>6</v>
      </c>
      <c r="B12" s="35"/>
      <c r="C12" s="35"/>
      <c r="D12" s="35"/>
      <c r="E12" s="35"/>
      <c r="F12" s="35"/>
      <c r="G12" s="35"/>
      <c r="H12" s="35"/>
      <c r="I12" s="3"/>
      <c r="J12" s="3"/>
      <c r="K12" s="3"/>
      <c r="L12" s="3"/>
      <c r="M12" s="3"/>
      <c r="N12" s="3"/>
      <c r="O12" s="3"/>
      <c r="P12" s="3"/>
      <c r="Q12" s="3"/>
      <c r="R12" s="3"/>
      <c r="S12" s="3"/>
      <c r="T12" s="3"/>
      <c r="U12" s="3"/>
      <c r="V12" s="3"/>
      <c r="W12" s="3"/>
      <c r="X12" s="3"/>
      <c r="Y12" s="3"/>
      <c r="Z12" s="3"/>
      <c r="AA12" s="3"/>
      <c r="AB12" s="3"/>
      <c r="AC12" s="3"/>
      <c r="AD12" s="3"/>
    </row>
    <row r="13" ht="15" customHeight="1" spans="1:30">
      <c r="A13" s="47">
        <v>7</v>
      </c>
      <c r="B13" s="35"/>
      <c r="C13" s="35"/>
      <c r="D13" s="35"/>
      <c r="E13" s="35"/>
      <c r="F13" s="35"/>
      <c r="G13" s="35"/>
      <c r="H13" s="35"/>
      <c r="I13" s="3"/>
      <c r="J13" s="3"/>
      <c r="K13" s="3"/>
      <c r="L13" s="3"/>
      <c r="M13" s="3"/>
      <c r="N13" s="3"/>
      <c r="O13" s="3"/>
      <c r="P13" s="3"/>
      <c r="Q13" s="3"/>
      <c r="R13" s="3"/>
      <c r="S13" s="3"/>
      <c r="T13" s="3"/>
      <c r="U13" s="3"/>
      <c r="V13" s="3"/>
      <c r="W13" s="3"/>
      <c r="X13" s="3"/>
      <c r="Y13" s="3"/>
      <c r="Z13" s="3"/>
      <c r="AA13" s="3"/>
      <c r="AB13" s="3"/>
      <c r="AC13" s="3"/>
      <c r="AD13" s="3"/>
    </row>
    <row r="14" ht="15" customHeight="1" spans="1:30">
      <c r="A14" s="47">
        <v>8</v>
      </c>
      <c r="B14" s="35"/>
      <c r="C14" s="35"/>
      <c r="D14" s="35"/>
      <c r="E14" s="35"/>
      <c r="F14" s="35"/>
      <c r="G14" s="35"/>
      <c r="H14" s="35"/>
      <c r="I14" s="3"/>
      <c r="J14" s="3"/>
      <c r="K14" s="3"/>
      <c r="L14" s="3"/>
      <c r="M14" s="3"/>
      <c r="N14" s="3"/>
      <c r="O14" s="3"/>
      <c r="P14" s="3"/>
      <c r="Q14" s="3"/>
      <c r="R14" s="3"/>
      <c r="S14" s="3"/>
      <c r="T14" s="3"/>
      <c r="U14" s="3"/>
      <c r="V14" s="3"/>
      <c r="W14" s="3"/>
      <c r="X14" s="3"/>
      <c r="Y14" s="3"/>
      <c r="Z14" s="3"/>
      <c r="AA14" s="3"/>
      <c r="AB14" s="3"/>
      <c r="AC14" s="3"/>
      <c r="AD14" s="3"/>
    </row>
    <row r="15" ht="15" customHeight="1" spans="1:30">
      <c r="A15" s="47">
        <v>9</v>
      </c>
      <c r="B15" s="35"/>
      <c r="C15" s="35"/>
      <c r="D15" s="35"/>
      <c r="E15" s="35"/>
      <c r="F15" s="35"/>
      <c r="G15" s="35"/>
      <c r="H15" s="35"/>
      <c r="I15" s="3"/>
      <c r="J15" s="3"/>
      <c r="K15" s="3"/>
      <c r="L15" s="3"/>
      <c r="M15" s="3"/>
      <c r="N15" s="3"/>
      <c r="O15" s="3"/>
      <c r="P15" s="3"/>
      <c r="Q15" s="3"/>
      <c r="R15" s="3"/>
      <c r="S15" s="3"/>
      <c r="T15" s="3"/>
      <c r="U15" s="3"/>
      <c r="V15" s="3"/>
      <c r="W15" s="3"/>
      <c r="X15" s="3"/>
      <c r="Y15" s="3"/>
      <c r="Z15" s="3"/>
      <c r="AA15" s="3"/>
      <c r="AB15" s="3"/>
      <c r="AC15" s="3"/>
      <c r="AD15" s="3"/>
    </row>
    <row r="16" ht="15" customHeight="1" spans="1:30">
      <c r="A16" s="47">
        <v>10</v>
      </c>
      <c r="B16" s="35"/>
      <c r="C16" s="35"/>
      <c r="D16" s="35"/>
      <c r="E16" s="35"/>
      <c r="F16" s="35"/>
      <c r="G16" s="35"/>
      <c r="H16" s="35"/>
      <c r="I16" s="3"/>
      <c r="J16" s="3"/>
      <c r="K16" s="3"/>
      <c r="L16" s="3"/>
      <c r="M16" s="3"/>
      <c r="N16" s="3"/>
      <c r="O16" s="3"/>
      <c r="P16" s="3"/>
      <c r="Q16" s="3"/>
      <c r="R16" s="3"/>
      <c r="S16" s="3"/>
      <c r="T16" s="3"/>
      <c r="U16" s="3"/>
      <c r="V16" s="3"/>
      <c r="W16" s="3"/>
      <c r="X16" s="3"/>
      <c r="Y16" s="3"/>
      <c r="Z16" s="3"/>
      <c r="AA16" s="3"/>
      <c r="AB16" s="3"/>
      <c r="AC16" s="3"/>
      <c r="AD16" s="3"/>
    </row>
    <row r="17" ht="15" customHeight="1" spans="1:30">
      <c r="A17" s="47">
        <v>11</v>
      </c>
      <c r="B17" s="35"/>
      <c r="C17" s="35"/>
      <c r="D17" s="35"/>
      <c r="E17" s="35"/>
      <c r="F17" s="35"/>
      <c r="G17" s="35"/>
      <c r="H17" s="35"/>
      <c r="I17" s="3"/>
      <c r="J17" s="3"/>
      <c r="K17" s="3"/>
      <c r="L17" s="3"/>
      <c r="M17" s="3"/>
      <c r="N17" s="3"/>
      <c r="O17" s="3"/>
      <c r="P17" s="3"/>
      <c r="Q17" s="3"/>
      <c r="R17" s="3"/>
      <c r="S17" s="3"/>
      <c r="T17" s="3"/>
      <c r="U17" s="3"/>
      <c r="V17" s="3"/>
      <c r="W17" s="3"/>
      <c r="X17" s="3"/>
      <c r="Y17" s="3"/>
      <c r="Z17" s="3"/>
      <c r="AA17" s="3"/>
      <c r="AB17" s="3"/>
      <c r="AC17" s="3"/>
      <c r="AD17" s="3"/>
    </row>
    <row r="18" ht="15" customHeight="1" spans="1:30">
      <c r="A18" s="47">
        <v>12</v>
      </c>
      <c r="B18" s="35"/>
      <c r="C18" s="35"/>
      <c r="D18" s="35"/>
      <c r="E18" s="35"/>
      <c r="F18" s="35"/>
      <c r="G18" s="35"/>
      <c r="H18" s="35"/>
      <c r="I18" s="3"/>
      <c r="J18" s="3"/>
      <c r="K18" s="3"/>
      <c r="L18" s="3"/>
      <c r="M18" s="3"/>
      <c r="N18" s="3"/>
      <c r="O18" s="3"/>
      <c r="P18" s="3"/>
      <c r="Q18" s="3"/>
      <c r="R18" s="3"/>
      <c r="S18" s="3"/>
      <c r="T18" s="3"/>
      <c r="U18" s="3"/>
      <c r="V18" s="3"/>
      <c r="W18" s="3"/>
      <c r="X18" s="3"/>
      <c r="Y18" s="3"/>
      <c r="Z18" s="3"/>
      <c r="AA18" s="3"/>
      <c r="AB18" s="3"/>
      <c r="AC18" s="3"/>
      <c r="AD18" s="3"/>
    </row>
    <row r="19" ht="15" customHeight="1" spans="1:30">
      <c r="A19" s="47">
        <v>13</v>
      </c>
      <c r="B19" s="35"/>
      <c r="C19" s="35"/>
      <c r="D19" s="35"/>
      <c r="E19" s="35"/>
      <c r="F19" s="35"/>
      <c r="G19" s="35"/>
      <c r="H19" s="35"/>
      <c r="I19" s="3"/>
      <c r="J19" s="3"/>
      <c r="K19" s="3"/>
      <c r="L19" s="3"/>
      <c r="M19" s="3"/>
      <c r="N19" s="3"/>
      <c r="O19" s="3"/>
      <c r="P19" s="3"/>
      <c r="Q19" s="3"/>
      <c r="R19" s="3"/>
      <c r="S19" s="3"/>
      <c r="T19" s="3"/>
      <c r="U19" s="3"/>
      <c r="V19" s="3"/>
      <c r="W19" s="3"/>
      <c r="X19" s="3"/>
      <c r="Y19" s="3"/>
      <c r="Z19" s="3"/>
      <c r="AA19" s="3"/>
      <c r="AB19" s="3"/>
      <c r="AC19" s="3"/>
      <c r="AD19" s="3"/>
    </row>
    <row r="20" ht="15" customHeight="1" spans="1:30">
      <c r="A20" s="47">
        <v>14</v>
      </c>
      <c r="B20" s="35"/>
      <c r="C20" s="35"/>
      <c r="D20" s="35"/>
      <c r="E20" s="35"/>
      <c r="F20" s="35"/>
      <c r="G20" s="35"/>
      <c r="H20" s="35"/>
      <c r="I20" s="3"/>
      <c r="J20" s="3"/>
      <c r="K20" s="3"/>
      <c r="L20" s="3"/>
      <c r="M20" s="3"/>
      <c r="N20" s="3"/>
      <c r="O20" s="3"/>
      <c r="P20" s="3"/>
      <c r="Q20" s="3"/>
      <c r="R20" s="3"/>
      <c r="S20" s="3"/>
      <c r="T20" s="3"/>
      <c r="U20" s="3"/>
      <c r="V20" s="3"/>
      <c r="W20" s="3"/>
      <c r="X20" s="3"/>
      <c r="Y20" s="3"/>
      <c r="Z20" s="3"/>
      <c r="AA20" s="3"/>
      <c r="AB20" s="3"/>
      <c r="AC20" s="3"/>
      <c r="AD20" s="3"/>
    </row>
    <row r="21" ht="15" customHeight="1" spans="1:30">
      <c r="A21" s="47">
        <v>15</v>
      </c>
      <c r="B21" s="35"/>
      <c r="C21" s="35"/>
      <c r="D21" s="35"/>
      <c r="E21" s="35"/>
      <c r="F21" s="35"/>
      <c r="G21" s="35"/>
      <c r="H21" s="35"/>
      <c r="I21" s="3"/>
      <c r="J21" s="3"/>
      <c r="K21" s="3"/>
      <c r="L21" s="3"/>
      <c r="M21" s="3"/>
      <c r="N21" s="3"/>
      <c r="O21" s="3"/>
      <c r="P21" s="3"/>
      <c r="Q21" s="3"/>
      <c r="R21" s="3"/>
      <c r="S21" s="3"/>
      <c r="T21" s="3"/>
      <c r="U21" s="3"/>
      <c r="V21" s="3"/>
      <c r="W21" s="3"/>
      <c r="X21" s="3"/>
      <c r="Y21" s="3"/>
      <c r="Z21" s="3"/>
      <c r="AA21" s="3"/>
      <c r="AB21" s="3"/>
      <c r="AC21" s="3"/>
      <c r="AD21" s="3"/>
    </row>
    <row r="22" ht="15" customHeight="1" spans="1:30">
      <c r="A22" s="47">
        <v>16</v>
      </c>
      <c r="B22" s="35"/>
      <c r="C22" s="35"/>
      <c r="D22" s="35"/>
      <c r="E22" s="35"/>
      <c r="F22" s="35"/>
      <c r="G22" s="35"/>
      <c r="H22" s="35"/>
      <c r="I22" s="3"/>
      <c r="J22" s="3"/>
      <c r="K22" s="3"/>
      <c r="L22" s="3"/>
      <c r="M22" s="3"/>
      <c r="N22" s="3"/>
      <c r="O22" s="3"/>
      <c r="P22" s="3"/>
      <c r="Q22" s="3"/>
      <c r="R22" s="3"/>
      <c r="S22" s="3"/>
      <c r="T22" s="3"/>
      <c r="U22" s="3"/>
      <c r="V22" s="3"/>
      <c r="W22" s="3"/>
      <c r="X22" s="3"/>
      <c r="Y22" s="3"/>
      <c r="Z22" s="3"/>
      <c r="AA22" s="3"/>
      <c r="AB22" s="3"/>
      <c r="AC22" s="3"/>
      <c r="AD22" s="3"/>
    </row>
    <row r="23" ht="15" customHeight="1" spans="1:30">
      <c r="A23" s="47">
        <v>17</v>
      </c>
      <c r="B23" s="35"/>
      <c r="C23" s="35"/>
      <c r="D23" s="35"/>
      <c r="E23" s="35"/>
      <c r="F23" s="35"/>
      <c r="G23" s="35"/>
      <c r="H23" s="35"/>
      <c r="I23" s="3"/>
      <c r="J23" s="3"/>
      <c r="K23" s="3"/>
      <c r="L23" s="3"/>
      <c r="M23" s="3"/>
      <c r="N23" s="3"/>
      <c r="O23" s="3"/>
      <c r="P23" s="3"/>
      <c r="Q23" s="3"/>
      <c r="R23" s="3"/>
      <c r="S23" s="3"/>
      <c r="T23" s="3"/>
      <c r="U23" s="3"/>
      <c r="V23" s="3"/>
      <c r="W23" s="3"/>
      <c r="X23" s="3"/>
      <c r="Y23" s="3"/>
      <c r="Z23" s="3"/>
      <c r="AA23" s="3"/>
      <c r="AB23" s="3"/>
      <c r="AC23" s="3"/>
      <c r="AD23" s="3"/>
    </row>
    <row r="24" ht="15" customHeight="1" spans="1:30">
      <c r="A24" s="47">
        <v>18</v>
      </c>
      <c r="B24" s="35"/>
      <c r="C24" s="35"/>
      <c r="D24" s="35"/>
      <c r="E24" s="35"/>
      <c r="F24" s="35"/>
      <c r="G24" s="35"/>
      <c r="H24" s="35"/>
      <c r="I24" s="3"/>
      <c r="J24" s="3"/>
      <c r="K24" s="3"/>
      <c r="L24" s="3"/>
      <c r="M24" s="3"/>
      <c r="N24" s="3"/>
      <c r="O24" s="3"/>
      <c r="P24" s="3"/>
      <c r="Q24" s="3"/>
      <c r="R24" s="3"/>
      <c r="S24" s="3"/>
      <c r="T24" s="3"/>
      <c r="U24" s="3"/>
      <c r="V24" s="3"/>
      <c r="W24" s="3"/>
      <c r="X24" s="3"/>
      <c r="Y24" s="3"/>
      <c r="Z24" s="3"/>
      <c r="AA24" s="3"/>
      <c r="AB24" s="3"/>
      <c r="AC24" s="3"/>
      <c r="AD24" s="3"/>
    </row>
    <row r="25" ht="15" customHeight="1" spans="1:30">
      <c r="A25" s="47">
        <v>19</v>
      </c>
      <c r="B25" s="35"/>
      <c r="C25" s="35"/>
      <c r="D25" s="35"/>
      <c r="E25" s="35"/>
      <c r="F25" s="35"/>
      <c r="G25" s="35"/>
      <c r="H25" s="35"/>
      <c r="I25" s="3"/>
      <c r="J25" s="3"/>
      <c r="K25" s="3"/>
      <c r="L25" s="3"/>
      <c r="M25" s="3"/>
      <c r="N25" s="3"/>
      <c r="O25" s="3"/>
      <c r="P25" s="3"/>
      <c r="Q25" s="3"/>
      <c r="R25" s="3"/>
      <c r="S25" s="3"/>
      <c r="T25" s="3"/>
      <c r="U25" s="3"/>
      <c r="V25" s="3"/>
      <c r="W25" s="3"/>
      <c r="X25" s="3"/>
      <c r="Y25" s="3"/>
      <c r="Z25" s="3"/>
      <c r="AA25" s="3"/>
      <c r="AB25" s="3"/>
      <c r="AC25" s="3"/>
      <c r="AD25" s="3"/>
    </row>
    <row r="26" ht="15" customHeight="1" spans="1:30">
      <c r="A26" s="47">
        <v>20</v>
      </c>
      <c r="B26" s="35"/>
      <c r="C26" s="35"/>
      <c r="D26" s="35"/>
      <c r="E26" s="35"/>
      <c r="F26" s="35"/>
      <c r="G26" s="35"/>
      <c r="H26" s="35"/>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dataValidations count="1">
    <dataValidation type="list" sqref="G7:G26">
      <formula1>"Yes,No"</formula1>
    </dataValidation>
  </dataValidations>
  <pageMargins left="0.7" right="0.7" top="0.75" bottom="0.75"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ySplit="6" topLeftCell="A7" activePane="bottomLeft" state="frozen"/>
      <selection/>
      <selection pane="bottomLeft" activeCell="A1" sqref="A1:L1"/>
    </sheetView>
  </sheetViews>
  <sheetFormatPr defaultColWidth="8.68181818181818" defaultRowHeight="14.5"/>
  <cols>
    <col min="1" max="1" width="7" style="1" customWidth="1"/>
    <col min="2" max="2" width="40" style="1" customWidth="1"/>
    <col min="3" max="3" width="12" style="1" customWidth="1"/>
    <col min="4" max="4" width="18" style="1" customWidth="1"/>
    <col min="5" max="5" width="20" style="1" customWidth="1"/>
    <col min="6" max="6" width="40" style="1" customWidth="1"/>
    <col min="7" max="7" width="30" style="1" customWidth="1"/>
  </cols>
  <sheetData>
    <row r="1" ht="30" customHeight="1" spans="1:30">
      <c r="A1" s="2" t="s">
        <v>17</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110</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15" customHeight="1" spans="1:30">
      <c r="A6" s="6" t="s">
        <v>111</v>
      </c>
      <c r="B6" s="6" t="s">
        <v>112</v>
      </c>
      <c r="C6" s="6" t="s">
        <v>113</v>
      </c>
      <c r="D6" s="6" t="s">
        <v>114</v>
      </c>
      <c r="E6" s="6" t="s">
        <v>115</v>
      </c>
      <c r="F6" s="6" t="s">
        <v>116</v>
      </c>
      <c r="G6" s="6" t="s">
        <v>117</v>
      </c>
      <c r="H6" s="3"/>
      <c r="I6" s="3"/>
      <c r="J6" s="3"/>
      <c r="K6" s="3"/>
      <c r="L6" s="3"/>
      <c r="M6" s="3"/>
      <c r="N6" s="3"/>
      <c r="O6" s="3"/>
      <c r="P6" s="3"/>
      <c r="Q6" s="3"/>
      <c r="R6" s="3"/>
      <c r="S6" s="3"/>
      <c r="T6" s="3"/>
      <c r="U6" s="3"/>
      <c r="V6" s="3"/>
      <c r="W6" s="3"/>
      <c r="X6" s="3"/>
      <c r="Y6" s="3"/>
      <c r="Z6" s="3"/>
      <c r="AA6" s="3"/>
      <c r="AB6" s="3"/>
      <c r="AC6" s="3"/>
      <c r="AD6" s="3"/>
    </row>
    <row r="7" ht="15" customHeight="1" spans="1:30">
      <c r="A7" s="47" t="s">
        <v>118</v>
      </c>
      <c r="B7" s="3" t="s">
        <v>119</v>
      </c>
      <c r="C7" s="35">
        <v>0</v>
      </c>
      <c r="D7" s="3" t="s">
        <v>120</v>
      </c>
      <c r="E7" s="3" t="s">
        <v>121</v>
      </c>
      <c r="F7" s="3" t="s">
        <v>122</v>
      </c>
      <c r="G7" s="35" t="s">
        <v>123</v>
      </c>
      <c r="H7" s="3"/>
      <c r="I7" s="3"/>
      <c r="J7" s="3"/>
      <c r="K7" s="3"/>
      <c r="L7" s="3"/>
      <c r="M7" s="3"/>
      <c r="N7" s="3"/>
      <c r="O7" s="3"/>
      <c r="P7" s="3"/>
      <c r="Q7" s="3"/>
      <c r="R7" s="3"/>
      <c r="S7" s="3"/>
      <c r="T7" s="3"/>
      <c r="U7" s="3"/>
      <c r="V7" s="3"/>
      <c r="W7" s="3"/>
      <c r="X7" s="3"/>
      <c r="Y7" s="3"/>
      <c r="Z7" s="3"/>
      <c r="AA7" s="3"/>
      <c r="AB7" s="3"/>
      <c r="AC7" s="3"/>
      <c r="AD7" s="3"/>
    </row>
    <row r="8" ht="15" customHeight="1" spans="1:30">
      <c r="A8" s="47" t="s">
        <v>124</v>
      </c>
      <c r="B8" s="3" t="s">
        <v>125</v>
      </c>
      <c r="C8" s="35">
        <v>0</v>
      </c>
      <c r="D8" s="3" t="s">
        <v>120</v>
      </c>
      <c r="E8" s="3" t="s">
        <v>126</v>
      </c>
      <c r="F8" s="3" t="s">
        <v>127</v>
      </c>
      <c r="G8" s="35" t="s">
        <v>128</v>
      </c>
      <c r="H8" s="3"/>
      <c r="I8" s="3"/>
      <c r="J8" s="3"/>
      <c r="K8" s="3"/>
      <c r="L8" s="3"/>
      <c r="M8" s="3"/>
      <c r="N8" s="3"/>
      <c r="O8" s="3"/>
      <c r="P8" s="3"/>
      <c r="Q8" s="3"/>
      <c r="R8" s="3"/>
      <c r="S8" s="3"/>
      <c r="T8" s="3"/>
      <c r="U8" s="3"/>
      <c r="V8" s="3"/>
      <c r="W8" s="3"/>
      <c r="X8" s="3"/>
      <c r="Y8" s="3"/>
      <c r="Z8" s="3"/>
      <c r="AA8" s="3"/>
      <c r="AB8" s="3"/>
      <c r="AC8" s="3"/>
      <c r="AD8" s="3"/>
    </row>
    <row r="9" ht="15" customHeight="1" spans="1:30">
      <c r="A9" s="47" t="s">
        <v>129</v>
      </c>
      <c r="B9" s="3" t="s">
        <v>130</v>
      </c>
      <c r="C9" s="35">
        <v>10</v>
      </c>
      <c r="D9" s="3" t="s">
        <v>131</v>
      </c>
      <c r="E9" s="3"/>
      <c r="F9" s="3" t="s">
        <v>132</v>
      </c>
      <c r="G9" s="35"/>
      <c r="H9" s="3"/>
      <c r="I9" s="3"/>
      <c r="J9" s="3"/>
      <c r="K9" s="3"/>
      <c r="L9" s="3"/>
      <c r="M9" s="3"/>
      <c r="N9" s="3"/>
      <c r="O9" s="3"/>
      <c r="P9" s="3"/>
      <c r="Q9" s="3"/>
      <c r="R9" s="3"/>
      <c r="S9" s="3"/>
      <c r="T9" s="3"/>
      <c r="U9" s="3"/>
      <c r="V9" s="3"/>
      <c r="W9" s="3"/>
      <c r="X9" s="3"/>
      <c r="Y9" s="3"/>
      <c r="Z9" s="3"/>
      <c r="AA9" s="3"/>
      <c r="AB9" s="3"/>
      <c r="AC9" s="3"/>
      <c r="AD9" s="3"/>
    </row>
    <row r="10" ht="15" customHeight="1" spans="1:30">
      <c r="A10" s="47" t="s">
        <v>133</v>
      </c>
      <c r="B10" s="3" t="s">
        <v>134</v>
      </c>
      <c r="C10" s="35">
        <v>30</v>
      </c>
      <c r="D10" s="3" t="s">
        <v>131</v>
      </c>
      <c r="E10" s="3"/>
      <c r="F10" s="3" t="s">
        <v>135</v>
      </c>
      <c r="G10" s="35"/>
      <c r="H10" s="3"/>
      <c r="I10" s="3"/>
      <c r="J10" s="3"/>
      <c r="K10" s="3"/>
      <c r="L10" s="3"/>
      <c r="M10" s="3"/>
      <c r="N10" s="3"/>
      <c r="O10" s="3"/>
      <c r="P10" s="3"/>
      <c r="Q10" s="3"/>
      <c r="R10" s="3"/>
      <c r="S10" s="3"/>
      <c r="T10" s="3"/>
      <c r="U10" s="3"/>
      <c r="V10" s="3"/>
      <c r="W10" s="3"/>
      <c r="X10" s="3"/>
      <c r="Y10" s="3"/>
      <c r="Z10" s="3"/>
      <c r="AA10" s="3"/>
      <c r="AB10" s="3"/>
      <c r="AC10" s="3"/>
      <c r="AD10" s="3"/>
    </row>
    <row r="11" ht="15" customHeight="1" spans="1:30">
      <c r="A11" s="47" t="s">
        <v>136</v>
      </c>
      <c r="B11" s="3" t="s">
        <v>137</v>
      </c>
      <c r="C11" s="35">
        <v>15</v>
      </c>
      <c r="D11" s="3" t="s">
        <v>131</v>
      </c>
      <c r="E11" s="3"/>
      <c r="F11" s="3" t="s">
        <v>138</v>
      </c>
      <c r="G11" s="35"/>
      <c r="H11" s="3"/>
      <c r="I11" s="3"/>
      <c r="J11" s="3"/>
      <c r="K11" s="3"/>
      <c r="L11" s="3"/>
      <c r="M11" s="3"/>
      <c r="N11" s="3"/>
      <c r="O11" s="3"/>
      <c r="P11" s="3"/>
      <c r="Q11" s="3"/>
      <c r="R11" s="3"/>
      <c r="S11" s="3"/>
      <c r="T11" s="3"/>
      <c r="U11" s="3"/>
      <c r="V11" s="3"/>
      <c r="W11" s="3"/>
      <c r="X11" s="3"/>
      <c r="Y11" s="3"/>
      <c r="Z11" s="3"/>
      <c r="AA11" s="3"/>
      <c r="AB11" s="3"/>
      <c r="AC11" s="3"/>
      <c r="AD11" s="3"/>
    </row>
    <row r="12" ht="15" customHeight="1" spans="1:30">
      <c r="A12" s="47" t="s">
        <v>139</v>
      </c>
      <c r="B12" s="3" t="s">
        <v>140</v>
      </c>
      <c r="C12" s="35">
        <v>10</v>
      </c>
      <c r="D12" s="3" t="s">
        <v>131</v>
      </c>
      <c r="E12" s="3"/>
      <c r="F12" s="3" t="s">
        <v>141</v>
      </c>
      <c r="G12" s="35"/>
      <c r="H12" s="3"/>
      <c r="I12" s="3"/>
      <c r="J12" s="3"/>
      <c r="K12" s="3"/>
      <c r="L12" s="3"/>
      <c r="M12" s="3"/>
      <c r="N12" s="3"/>
      <c r="O12" s="3"/>
      <c r="P12" s="3"/>
      <c r="Q12" s="3"/>
      <c r="R12" s="3"/>
      <c r="S12" s="3"/>
      <c r="T12" s="3"/>
      <c r="U12" s="3"/>
      <c r="V12" s="3"/>
      <c r="W12" s="3"/>
      <c r="X12" s="3"/>
      <c r="Y12" s="3"/>
      <c r="Z12" s="3"/>
      <c r="AA12" s="3"/>
      <c r="AB12" s="3"/>
      <c r="AC12" s="3"/>
      <c r="AD12" s="3"/>
    </row>
    <row r="13" ht="15" customHeight="1" spans="1:30">
      <c r="A13" s="47" t="s">
        <v>142</v>
      </c>
      <c r="B13" s="3" t="s">
        <v>143</v>
      </c>
      <c r="C13" s="35">
        <v>5</v>
      </c>
      <c r="D13" s="3" t="s">
        <v>131</v>
      </c>
      <c r="E13" s="3"/>
      <c r="F13" s="3" t="s">
        <v>144</v>
      </c>
      <c r="G13" s="35"/>
      <c r="H13" s="3"/>
      <c r="I13" s="3"/>
      <c r="J13" s="3"/>
      <c r="K13" s="3"/>
      <c r="L13" s="3"/>
      <c r="M13" s="3"/>
      <c r="N13" s="3"/>
      <c r="O13" s="3"/>
      <c r="P13" s="3"/>
      <c r="Q13" s="3"/>
      <c r="R13" s="3"/>
      <c r="S13" s="3"/>
      <c r="T13" s="3"/>
      <c r="U13" s="3"/>
      <c r="V13" s="3"/>
      <c r="W13" s="3"/>
      <c r="X13" s="3"/>
      <c r="Y13" s="3"/>
      <c r="Z13" s="3"/>
      <c r="AA13" s="3"/>
      <c r="AB13" s="3"/>
      <c r="AC13" s="3"/>
      <c r="AD13" s="3"/>
    </row>
    <row r="14" ht="15" customHeight="1" spans="1:30">
      <c r="A14" s="47" t="s">
        <v>145</v>
      </c>
      <c r="B14" s="3" t="s">
        <v>146</v>
      </c>
      <c r="C14" s="35">
        <v>10</v>
      </c>
      <c r="D14" s="3" t="s">
        <v>147</v>
      </c>
      <c r="E14" s="3"/>
      <c r="F14" s="3" t="s">
        <v>148</v>
      </c>
      <c r="G14" s="35" t="s">
        <v>149</v>
      </c>
      <c r="H14" s="3"/>
      <c r="I14" s="3"/>
      <c r="J14" s="3"/>
      <c r="K14" s="3"/>
      <c r="L14" s="3"/>
      <c r="M14" s="3"/>
      <c r="N14" s="3"/>
      <c r="O14" s="3"/>
      <c r="P14" s="3"/>
      <c r="Q14" s="3"/>
      <c r="R14" s="3"/>
      <c r="S14" s="3"/>
      <c r="T14" s="3"/>
      <c r="U14" s="3"/>
      <c r="V14" s="3"/>
      <c r="W14" s="3"/>
      <c r="X14" s="3"/>
      <c r="Y14" s="3"/>
      <c r="Z14" s="3"/>
      <c r="AA14" s="3"/>
      <c r="AB14" s="3"/>
      <c r="AC14" s="3"/>
      <c r="AD14" s="3"/>
    </row>
    <row r="15" ht="15" customHeight="1" spans="1:30">
      <c r="A15" s="47" t="s">
        <v>150</v>
      </c>
      <c r="B15" s="3" t="s">
        <v>151</v>
      </c>
      <c r="C15" s="35">
        <v>15</v>
      </c>
      <c r="D15" s="3" t="s">
        <v>147</v>
      </c>
      <c r="E15" s="3"/>
      <c r="F15" s="3" t="s">
        <v>152</v>
      </c>
      <c r="G15" s="35" t="s">
        <v>153</v>
      </c>
      <c r="H15" s="3"/>
      <c r="I15" s="3"/>
      <c r="J15" s="3"/>
      <c r="K15" s="3"/>
      <c r="L15" s="3"/>
      <c r="M15" s="3"/>
      <c r="N15" s="3"/>
      <c r="O15" s="3"/>
      <c r="P15" s="3"/>
      <c r="Q15" s="3"/>
      <c r="R15" s="3"/>
      <c r="S15" s="3"/>
      <c r="T15" s="3"/>
      <c r="U15" s="3"/>
      <c r="V15" s="3"/>
      <c r="W15" s="3"/>
      <c r="X15" s="3"/>
      <c r="Y15" s="3"/>
      <c r="Z15" s="3"/>
      <c r="AA15" s="3"/>
      <c r="AB15" s="3"/>
      <c r="AC15" s="3"/>
      <c r="AD15" s="3"/>
    </row>
    <row r="16" ht="15" customHeight="1" spans="1:30">
      <c r="A16" s="47" t="s">
        <v>154</v>
      </c>
      <c r="B16" s="3" t="s">
        <v>155</v>
      </c>
      <c r="C16" s="35">
        <v>5</v>
      </c>
      <c r="D16" s="3" t="s">
        <v>131</v>
      </c>
      <c r="E16" s="3"/>
      <c r="F16" s="3" t="s">
        <v>156</v>
      </c>
      <c r="G16" s="35"/>
      <c r="H16" s="3"/>
      <c r="I16" s="3"/>
      <c r="J16" s="3"/>
      <c r="K16" s="3"/>
      <c r="L16" s="3"/>
      <c r="M16" s="3"/>
      <c r="N16" s="3"/>
      <c r="O16" s="3"/>
      <c r="P16" s="3"/>
      <c r="Q16" s="3"/>
      <c r="R16" s="3"/>
      <c r="S16" s="3"/>
      <c r="T16" s="3"/>
      <c r="U16" s="3"/>
      <c r="V16" s="3"/>
      <c r="W16" s="3"/>
      <c r="X16" s="3"/>
      <c r="Y16" s="3"/>
      <c r="Z16" s="3"/>
      <c r="AA16" s="3"/>
      <c r="AB16" s="3"/>
      <c r="AC16" s="3"/>
      <c r="AD16" s="3"/>
    </row>
    <row r="17" ht="15" customHeight="1" spans="1:30">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ht="15" customHeight="1" spans="1:30">
      <c r="A18" s="31" t="s">
        <v>157</v>
      </c>
      <c r="B18" s="48">
        <f>SUM(C9:C16)</f>
        <v>100</v>
      </c>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ht="15" customHeight="1" spans="1:30">
      <c r="A19" s="31" t="s">
        <v>158</v>
      </c>
      <c r="B19" s="48" t="str">
        <f>IF(B18=100,"READY: total points equal 100","CHECK: scored points must equal 100")</f>
        <v>READY: total points equal 100</v>
      </c>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ht="15" customHeight="1" spans="1:30">
      <c r="A20" s="31" t="s">
        <v>159</v>
      </c>
      <c r="B20" s="48" t="s">
        <v>160</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15" customHeight="1" spans="1:30">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ht="15" customHeight="1" spans="1:30">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ht="15" customHeight="1" spans="1:30">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ht="15" customHeight="1" spans="1:30">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ht="15" customHeight="1" spans="1:30">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ht="15" customHeight="1" spans="1:3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pageMargins left="0.7" right="0.7" top="0.75" bottom="0.75"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1" ySplit="6" topLeftCell="B7" activePane="bottomRight" state="frozen"/>
      <selection/>
      <selection pane="topRight"/>
      <selection pane="bottomLeft"/>
      <selection pane="bottomRight" activeCell="A1" sqref="A1:L1"/>
    </sheetView>
  </sheetViews>
  <sheetFormatPr defaultColWidth="8.68181818181818" defaultRowHeight="14.5"/>
  <cols>
    <col min="1" max="1" width="22" style="1" customWidth="1"/>
    <col min="2" max="2" width="12" style="1" customWidth="1"/>
    <col min="3" max="4" width="16" style="1" customWidth="1"/>
    <col min="5" max="5" width="14" style="1" customWidth="1"/>
    <col min="6" max="6" width="16" style="1" customWidth="1"/>
    <col min="7" max="7" width="12" style="1" customWidth="1"/>
    <col min="8" max="9" width="14" style="1" customWidth="1"/>
    <col min="10" max="10" width="16" style="1" customWidth="1"/>
    <col min="11" max="11" width="40" style="1" customWidth="1"/>
  </cols>
  <sheetData>
    <row r="1" ht="30" customHeight="1" spans="1:30">
      <c r="A1" s="2" t="s">
        <v>161</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162</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23.25" customHeight="1" spans="1:30">
      <c r="A6" s="6" t="s">
        <v>163</v>
      </c>
      <c r="B6" s="6" t="s">
        <v>164</v>
      </c>
      <c r="C6" s="6" t="s">
        <v>165</v>
      </c>
      <c r="D6" s="6" t="s">
        <v>166</v>
      </c>
      <c r="E6" s="6" t="s">
        <v>167</v>
      </c>
      <c r="F6" s="6" t="s">
        <v>168</v>
      </c>
      <c r="G6" s="6" t="s">
        <v>169</v>
      </c>
      <c r="H6" s="6" t="s">
        <v>170</v>
      </c>
      <c r="I6" s="6" t="s">
        <v>171</v>
      </c>
      <c r="J6" s="6" t="s">
        <v>172</v>
      </c>
      <c r="K6" s="6" t="s">
        <v>173</v>
      </c>
      <c r="L6" s="3"/>
      <c r="M6" s="3"/>
      <c r="N6" s="3"/>
      <c r="O6" s="3"/>
      <c r="P6" s="3"/>
      <c r="Q6" s="3"/>
      <c r="R6" s="3"/>
      <c r="S6" s="3"/>
      <c r="T6" s="3"/>
      <c r="U6" s="3"/>
      <c r="V6" s="3"/>
      <c r="W6" s="3"/>
      <c r="X6" s="3"/>
      <c r="Y6" s="3"/>
      <c r="Z6" s="3"/>
      <c r="AA6" s="3"/>
      <c r="AB6" s="3"/>
      <c r="AC6" s="3"/>
      <c r="AD6" s="3"/>
    </row>
    <row r="7" ht="15" customHeight="1" spans="1:30">
      <c r="A7" s="3" t="str">
        <f>IF(LEN('BIDDER REGISTER'!B7)=0,"",'BIDDER REGISTER'!B7)</f>
        <v/>
      </c>
      <c r="B7" s="35"/>
      <c r="C7" s="35"/>
      <c r="D7" s="35"/>
      <c r="E7" s="35"/>
      <c r="F7" s="35"/>
      <c r="G7" s="35"/>
      <c r="H7" s="35"/>
      <c r="I7" s="35"/>
      <c r="J7" s="3" t="str">
        <f t="shared" ref="J7:J26" si="0">IF(LEN(A7)=0,"",IF(COUNTIF(B7:I7,"Fail")&gt;0,"Non-responsive",IF(COUNTBLANK(B7:I7)&gt;0,"Incomplete","Responsive")))</f>
        <v/>
      </c>
      <c r="K7" s="35"/>
      <c r="L7" s="3"/>
      <c r="M7" s="3"/>
      <c r="N7" s="3"/>
      <c r="O7" s="3"/>
      <c r="P7" s="3"/>
      <c r="Q7" s="3"/>
      <c r="R7" s="3"/>
      <c r="S7" s="3"/>
      <c r="T7" s="3"/>
      <c r="U7" s="3"/>
      <c r="V7" s="3"/>
      <c r="W7" s="3"/>
      <c r="X7" s="3"/>
      <c r="Y7" s="3"/>
      <c r="Z7" s="3"/>
      <c r="AA7" s="3"/>
      <c r="AB7" s="3"/>
      <c r="AC7" s="3"/>
      <c r="AD7" s="3"/>
    </row>
    <row r="8" ht="15" customHeight="1" spans="1:30">
      <c r="A8" s="3" t="str">
        <f>IF(LEN('BIDDER REGISTER'!B8)=0,"",'BIDDER REGISTER'!B8)</f>
        <v/>
      </c>
      <c r="B8" s="35"/>
      <c r="C8" s="35"/>
      <c r="D8" s="35"/>
      <c r="E8" s="35"/>
      <c r="F8" s="35"/>
      <c r="G8" s="35"/>
      <c r="H8" s="35"/>
      <c r="I8" s="35"/>
      <c r="J8" s="3" t="str">
        <f t="shared" si="0"/>
        <v/>
      </c>
      <c r="K8" s="35"/>
      <c r="L8" s="3"/>
      <c r="M8" s="3"/>
      <c r="N8" s="3"/>
      <c r="O8" s="3"/>
      <c r="P8" s="3"/>
      <c r="Q8" s="3"/>
      <c r="R8" s="3"/>
      <c r="S8" s="3"/>
      <c r="T8" s="3"/>
      <c r="U8" s="3"/>
      <c r="V8" s="3"/>
      <c r="W8" s="3"/>
      <c r="X8" s="3"/>
      <c r="Y8" s="3"/>
      <c r="Z8" s="3"/>
      <c r="AA8" s="3"/>
      <c r="AB8" s="3"/>
      <c r="AC8" s="3"/>
      <c r="AD8" s="3"/>
    </row>
    <row r="9" ht="15" customHeight="1" spans="1:30">
      <c r="A9" s="3" t="str">
        <f>IF(LEN('BIDDER REGISTER'!B9)=0,"",'BIDDER REGISTER'!B9)</f>
        <v/>
      </c>
      <c r="B9" s="35"/>
      <c r="C9" s="35"/>
      <c r="D9" s="35"/>
      <c r="E9" s="35"/>
      <c r="F9" s="35"/>
      <c r="G9" s="35"/>
      <c r="H9" s="35"/>
      <c r="I9" s="35"/>
      <c r="J9" s="3" t="str">
        <f t="shared" si="0"/>
        <v/>
      </c>
      <c r="K9" s="35"/>
      <c r="L9" s="3"/>
      <c r="M9" s="3"/>
      <c r="N9" s="3"/>
      <c r="O9" s="3"/>
      <c r="P9" s="3"/>
      <c r="Q9" s="3"/>
      <c r="R9" s="3"/>
      <c r="S9" s="3"/>
      <c r="T9" s="3"/>
      <c r="U9" s="3"/>
      <c r="V9" s="3"/>
      <c r="W9" s="3"/>
      <c r="X9" s="3"/>
      <c r="Y9" s="3"/>
      <c r="Z9" s="3"/>
      <c r="AA9" s="3"/>
      <c r="AB9" s="3"/>
      <c r="AC9" s="3"/>
      <c r="AD9" s="3"/>
    </row>
    <row r="10" ht="15" customHeight="1" spans="1:30">
      <c r="A10" s="3" t="str">
        <f>IF(LEN('BIDDER REGISTER'!B10)=0,"",'BIDDER REGISTER'!B10)</f>
        <v/>
      </c>
      <c r="B10" s="35"/>
      <c r="C10" s="35"/>
      <c r="D10" s="35"/>
      <c r="E10" s="35"/>
      <c r="F10" s="35"/>
      <c r="G10" s="35"/>
      <c r="H10" s="35"/>
      <c r="I10" s="35"/>
      <c r="J10" s="3" t="str">
        <f t="shared" si="0"/>
        <v/>
      </c>
      <c r="K10" s="35"/>
      <c r="L10" s="3"/>
      <c r="M10" s="3"/>
      <c r="N10" s="3"/>
      <c r="O10" s="3"/>
      <c r="P10" s="3"/>
      <c r="Q10" s="3"/>
      <c r="R10" s="3"/>
      <c r="S10" s="3"/>
      <c r="T10" s="3"/>
      <c r="U10" s="3"/>
      <c r="V10" s="3"/>
      <c r="W10" s="3"/>
      <c r="X10" s="3"/>
      <c r="Y10" s="3"/>
      <c r="Z10" s="3"/>
      <c r="AA10" s="3"/>
      <c r="AB10" s="3"/>
      <c r="AC10" s="3"/>
      <c r="AD10" s="3"/>
    </row>
    <row r="11" ht="15" customHeight="1" spans="1:30">
      <c r="A11" s="3" t="str">
        <f>IF(LEN('BIDDER REGISTER'!B11)=0,"",'BIDDER REGISTER'!B11)</f>
        <v/>
      </c>
      <c r="B11" s="35"/>
      <c r="C11" s="35"/>
      <c r="D11" s="35"/>
      <c r="E11" s="35"/>
      <c r="F11" s="35"/>
      <c r="G11" s="35"/>
      <c r="H11" s="35"/>
      <c r="I11" s="35"/>
      <c r="J11" s="3" t="str">
        <f t="shared" si="0"/>
        <v/>
      </c>
      <c r="K11" s="35"/>
      <c r="L11" s="3"/>
      <c r="M11" s="3"/>
      <c r="N11" s="3"/>
      <c r="O11" s="3"/>
      <c r="P11" s="3"/>
      <c r="Q11" s="3"/>
      <c r="R11" s="3"/>
      <c r="S11" s="3"/>
      <c r="T11" s="3"/>
      <c r="U11" s="3"/>
      <c r="V11" s="3"/>
      <c r="W11" s="3"/>
      <c r="X11" s="3"/>
      <c r="Y11" s="3"/>
      <c r="Z11" s="3"/>
      <c r="AA11" s="3"/>
      <c r="AB11" s="3"/>
      <c r="AC11" s="3"/>
      <c r="AD11" s="3"/>
    </row>
    <row r="12" ht="15" customHeight="1" spans="1:30">
      <c r="A12" s="3" t="str">
        <f>IF(LEN('BIDDER REGISTER'!B12)=0,"",'BIDDER REGISTER'!B12)</f>
        <v/>
      </c>
      <c r="B12" s="35"/>
      <c r="C12" s="35"/>
      <c r="D12" s="35"/>
      <c r="E12" s="35"/>
      <c r="F12" s="35"/>
      <c r="G12" s="35"/>
      <c r="H12" s="35"/>
      <c r="I12" s="35"/>
      <c r="J12" s="3" t="str">
        <f t="shared" si="0"/>
        <v/>
      </c>
      <c r="K12" s="35"/>
      <c r="L12" s="3"/>
      <c r="M12" s="3"/>
      <c r="N12" s="3"/>
      <c r="O12" s="3"/>
      <c r="P12" s="3"/>
      <c r="Q12" s="3"/>
      <c r="R12" s="3"/>
      <c r="S12" s="3"/>
      <c r="T12" s="3"/>
      <c r="U12" s="3"/>
      <c r="V12" s="3"/>
      <c r="W12" s="3"/>
      <c r="X12" s="3"/>
      <c r="Y12" s="3"/>
      <c r="Z12" s="3"/>
      <c r="AA12" s="3"/>
      <c r="AB12" s="3"/>
      <c r="AC12" s="3"/>
      <c r="AD12" s="3"/>
    </row>
    <row r="13" ht="15" customHeight="1" spans="1:30">
      <c r="A13" s="3" t="str">
        <f>IF(LEN('BIDDER REGISTER'!B13)=0,"",'BIDDER REGISTER'!B13)</f>
        <v/>
      </c>
      <c r="B13" s="35"/>
      <c r="C13" s="35"/>
      <c r="D13" s="35"/>
      <c r="E13" s="35"/>
      <c r="F13" s="35"/>
      <c r="G13" s="35"/>
      <c r="H13" s="35"/>
      <c r="I13" s="35"/>
      <c r="J13" s="3" t="str">
        <f t="shared" si="0"/>
        <v/>
      </c>
      <c r="K13" s="35"/>
      <c r="L13" s="3"/>
      <c r="M13" s="3"/>
      <c r="N13" s="3"/>
      <c r="O13" s="3"/>
      <c r="P13" s="3"/>
      <c r="Q13" s="3"/>
      <c r="R13" s="3"/>
      <c r="S13" s="3"/>
      <c r="T13" s="3"/>
      <c r="U13" s="3"/>
      <c r="V13" s="3"/>
      <c r="W13" s="3"/>
      <c r="X13" s="3"/>
      <c r="Y13" s="3"/>
      <c r="Z13" s="3"/>
      <c r="AA13" s="3"/>
      <c r="AB13" s="3"/>
      <c r="AC13" s="3"/>
      <c r="AD13" s="3"/>
    </row>
    <row r="14" ht="15" customHeight="1" spans="1:30">
      <c r="A14" s="3" t="str">
        <f>IF(LEN('BIDDER REGISTER'!B14)=0,"",'BIDDER REGISTER'!B14)</f>
        <v/>
      </c>
      <c r="B14" s="35"/>
      <c r="C14" s="35"/>
      <c r="D14" s="35"/>
      <c r="E14" s="35"/>
      <c r="F14" s="35"/>
      <c r="G14" s="35"/>
      <c r="H14" s="35"/>
      <c r="I14" s="35"/>
      <c r="J14" s="3" t="str">
        <f t="shared" si="0"/>
        <v/>
      </c>
      <c r="K14" s="35"/>
      <c r="L14" s="3"/>
      <c r="M14" s="3"/>
      <c r="N14" s="3"/>
      <c r="O14" s="3"/>
      <c r="P14" s="3"/>
      <c r="Q14" s="3"/>
      <c r="R14" s="3"/>
      <c r="S14" s="3"/>
      <c r="T14" s="3"/>
      <c r="U14" s="3"/>
      <c r="V14" s="3"/>
      <c r="W14" s="3"/>
      <c r="X14" s="3"/>
      <c r="Y14" s="3"/>
      <c r="Z14" s="3"/>
      <c r="AA14" s="3"/>
      <c r="AB14" s="3"/>
      <c r="AC14" s="3"/>
      <c r="AD14" s="3"/>
    </row>
    <row r="15" ht="15" customHeight="1" spans="1:30">
      <c r="A15" s="3" t="str">
        <f>IF(LEN('BIDDER REGISTER'!B15)=0,"",'BIDDER REGISTER'!B15)</f>
        <v/>
      </c>
      <c r="B15" s="35"/>
      <c r="C15" s="35"/>
      <c r="D15" s="35"/>
      <c r="E15" s="35"/>
      <c r="F15" s="35"/>
      <c r="G15" s="35"/>
      <c r="H15" s="35"/>
      <c r="I15" s="35"/>
      <c r="J15" s="3" t="str">
        <f t="shared" si="0"/>
        <v/>
      </c>
      <c r="K15" s="35"/>
      <c r="L15" s="3"/>
      <c r="M15" s="3"/>
      <c r="N15" s="3"/>
      <c r="O15" s="3"/>
      <c r="P15" s="3"/>
      <c r="Q15" s="3"/>
      <c r="R15" s="3"/>
      <c r="S15" s="3"/>
      <c r="T15" s="3"/>
      <c r="U15" s="3"/>
      <c r="V15" s="3"/>
      <c r="W15" s="3"/>
      <c r="X15" s="3"/>
      <c r="Y15" s="3"/>
      <c r="Z15" s="3"/>
      <c r="AA15" s="3"/>
      <c r="AB15" s="3"/>
      <c r="AC15" s="3"/>
      <c r="AD15" s="3"/>
    </row>
    <row r="16" ht="15" customHeight="1" spans="1:30">
      <c r="A16" s="3" t="str">
        <f>IF(LEN('BIDDER REGISTER'!B16)=0,"",'BIDDER REGISTER'!B16)</f>
        <v/>
      </c>
      <c r="B16" s="35"/>
      <c r="C16" s="35"/>
      <c r="D16" s="35"/>
      <c r="E16" s="35"/>
      <c r="F16" s="35"/>
      <c r="G16" s="35"/>
      <c r="H16" s="35"/>
      <c r="I16" s="35"/>
      <c r="J16" s="3" t="str">
        <f t="shared" si="0"/>
        <v/>
      </c>
      <c r="K16" s="35"/>
      <c r="L16" s="3"/>
      <c r="M16" s="3"/>
      <c r="N16" s="3"/>
      <c r="O16" s="3"/>
      <c r="P16" s="3"/>
      <c r="Q16" s="3"/>
      <c r="R16" s="3"/>
      <c r="S16" s="3"/>
      <c r="T16" s="3"/>
      <c r="U16" s="3"/>
      <c r="V16" s="3"/>
      <c r="W16" s="3"/>
      <c r="X16" s="3"/>
      <c r="Y16" s="3"/>
      <c r="Z16" s="3"/>
      <c r="AA16" s="3"/>
      <c r="AB16" s="3"/>
      <c r="AC16" s="3"/>
      <c r="AD16" s="3"/>
    </row>
    <row r="17" ht="15" customHeight="1" spans="1:30">
      <c r="A17" s="3" t="str">
        <f>IF(LEN('BIDDER REGISTER'!B17)=0,"",'BIDDER REGISTER'!B17)</f>
        <v/>
      </c>
      <c r="B17" s="35"/>
      <c r="C17" s="35"/>
      <c r="D17" s="35"/>
      <c r="E17" s="35"/>
      <c r="F17" s="35"/>
      <c r="G17" s="35"/>
      <c r="H17" s="35"/>
      <c r="I17" s="35"/>
      <c r="J17" s="3" t="str">
        <f t="shared" si="0"/>
        <v/>
      </c>
      <c r="K17" s="35"/>
      <c r="L17" s="3"/>
      <c r="M17" s="3"/>
      <c r="N17" s="3"/>
      <c r="O17" s="3"/>
      <c r="P17" s="3"/>
      <c r="Q17" s="3"/>
      <c r="R17" s="3"/>
      <c r="S17" s="3"/>
      <c r="T17" s="3"/>
      <c r="U17" s="3"/>
      <c r="V17" s="3"/>
      <c r="W17" s="3"/>
      <c r="X17" s="3"/>
      <c r="Y17" s="3"/>
      <c r="Z17" s="3"/>
      <c r="AA17" s="3"/>
      <c r="AB17" s="3"/>
      <c r="AC17" s="3"/>
      <c r="AD17" s="3"/>
    </row>
    <row r="18" ht="15" customHeight="1" spans="1:30">
      <c r="A18" s="3" t="str">
        <f>IF(LEN('BIDDER REGISTER'!B18)=0,"",'BIDDER REGISTER'!B18)</f>
        <v/>
      </c>
      <c r="B18" s="35"/>
      <c r="C18" s="35"/>
      <c r="D18" s="35"/>
      <c r="E18" s="35"/>
      <c r="F18" s="35"/>
      <c r="G18" s="35"/>
      <c r="H18" s="35"/>
      <c r="I18" s="35"/>
      <c r="J18" s="3" t="str">
        <f t="shared" si="0"/>
        <v/>
      </c>
      <c r="K18" s="35"/>
      <c r="L18" s="3"/>
      <c r="M18" s="3"/>
      <c r="N18" s="3"/>
      <c r="O18" s="3"/>
      <c r="P18" s="3"/>
      <c r="Q18" s="3"/>
      <c r="R18" s="3"/>
      <c r="S18" s="3"/>
      <c r="T18" s="3"/>
      <c r="U18" s="3"/>
      <c r="V18" s="3"/>
      <c r="W18" s="3"/>
      <c r="X18" s="3"/>
      <c r="Y18" s="3"/>
      <c r="Z18" s="3"/>
      <c r="AA18" s="3"/>
      <c r="AB18" s="3"/>
      <c r="AC18" s="3"/>
      <c r="AD18" s="3"/>
    </row>
    <row r="19" ht="15" customHeight="1" spans="1:30">
      <c r="A19" s="3" t="str">
        <f>IF(LEN('BIDDER REGISTER'!B19)=0,"",'BIDDER REGISTER'!B19)</f>
        <v/>
      </c>
      <c r="B19" s="35"/>
      <c r="C19" s="35"/>
      <c r="D19" s="35"/>
      <c r="E19" s="35"/>
      <c r="F19" s="35"/>
      <c r="G19" s="35"/>
      <c r="H19" s="35"/>
      <c r="I19" s="35"/>
      <c r="J19" s="3" t="str">
        <f t="shared" si="0"/>
        <v/>
      </c>
      <c r="K19" s="35"/>
      <c r="L19" s="3"/>
      <c r="M19" s="3"/>
      <c r="N19" s="3"/>
      <c r="O19" s="3"/>
      <c r="P19" s="3"/>
      <c r="Q19" s="3"/>
      <c r="R19" s="3"/>
      <c r="S19" s="3"/>
      <c r="T19" s="3"/>
      <c r="U19" s="3"/>
      <c r="V19" s="3"/>
      <c r="W19" s="3"/>
      <c r="X19" s="3"/>
      <c r="Y19" s="3"/>
      <c r="Z19" s="3"/>
      <c r="AA19" s="3"/>
      <c r="AB19" s="3"/>
      <c r="AC19" s="3"/>
      <c r="AD19" s="3"/>
    </row>
    <row r="20" ht="15" customHeight="1" spans="1:30">
      <c r="A20" s="3" t="str">
        <f>IF(LEN('BIDDER REGISTER'!B20)=0,"",'BIDDER REGISTER'!B20)</f>
        <v/>
      </c>
      <c r="B20" s="35"/>
      <c r="C20" s="35"/>
      <c r="D20" s="35"/>
      <c r="E20" s="35"/>
      <c r="F20" s="35"/>
      <c r="G20" s="35"/>
      <c r="H20" s="35"/>
      <c r="I20" s="35"/>
      <c r="J20" s="3" t="str">
        <f t="shared" si="0"/>
        <v/>
      </c>
      <c r="K20" s="35"/>
      <c r="L20" s="3"/>
      <c r="M20" s="3"/>
      <c r="N20" s="3"/>
      <c r="O20" s="3"/>
      <c r="P20" s="3"/>
      <c r="Q20" s="3"/>
      <c r="R20" s="3"/>
      <c r="S20" s="3"/>
      <c r="T20" s="3"/>
      <c r="U20" s="3"/>
      <c r="V20" s="3"/>
      <c r="W20" s="3"/>
      <c r="X20" s="3"/>
      <c r="Y20" s="3"/>
      <c r="Z20" s="3"/>
      <c r="AA20" s="3"/>
      <c r="AB20" s="3"/>
      <c r="AC20" s="3"/>
      <c r="AD20" s="3"/>
    </row>
    <row r="21" ht="15" customHeight="1" spans="1:30">
      <c r="A21" s="3" t="str">
        <f>IF(LEN('BIDDER REGISTER'!B21)=0,"",'BIDDER REGISTER'!B21)</f>
        <v/>
      </c>
      <c r="B21" s="35"/>
      <c r="C21" s="35"/>
      <c r="D21" s="35"/>
      <c r="E21" s="35"/>
      <c r="F21" s="35"/>
      <c r="G21" s="35"/>
      <c r="H21" s="35"/>
      <c r="I21" s="35"/>
      <c r="J21" s="3" t="str">
        <f t="shared" si="0"/>
        <v/>
      </c>
      <c r="K21" s="35"/>
      <c r="L21" s="3"/>
      <c r="M21" s="3"/>
      <c r="N21" s="3"/>
      <c r="O21" s="3"/>
      <c r="P21" s="3"/>
      <c r="Q21" s="3"/>
      <c r="R21" s="3"/>
      <c r="S21" s="3"/>
      <c r="T21" s="3"/>
      <c r="U21" s="3"/>
      <c r="V21" s="3"/>
      <c r="W21" s="3"/>
      <c r="X21" s="3"/>
      <c r="Y21" s="3"/>
      <c r="Z21" s="3"/>
      <c r="AA21" s="3"/>
      <c r="AB21" s="3"/>
      <c r="AC21" s="3"/>
      <c r="AD21" s="3"/>
    </row>
    <row r="22" ht="15" customHeight="1" spans="1:30">
      <c r="A22" s="3" t="str">
        <f>IF(LEN('BIDDER REGISTER'!B22)=0,"",'BIDDER REGISTER'!B22)</f>
        <v/>
      </c>
      <c r="B22" s="35"/>
      <c r="C22" s="35"/>
      <c r="D22" s="35"/>
      <c r="E22" s="35"/>
      <c r="F22" s="35"/>
      <c r="G22" s="35"/>
      <c r="H22" s="35"/>
      <c r="I22" s="35"/>
      <c r="J22" s="3" t="str">
        <f t="shared" si="0"/>
        <v/>
      </c>
      <c r="K22" s="35"/>
      <c r="L22" s="3"/>
      <c r="M22" s="3"/>
      <c r="N22" s="3"/>
      <c r="O22" s="3"/>
      <c r="P22" s="3"/>
      <c r="Q22" s="3"/>
      <c r="R22" s="3"/>
      <c r="S22" s="3"/>
      <c r="T22" s="3"/>
      <c r="U22" s="3"/>
      <c r="V22" s="3"/>
      <c r="W22" s="3"/>
      <c r="X22" s="3"/>
      <c r="Y22" s="3"/>
      <c r="Z22" s="3"/>
      <c r="AA22" s="3"/>
      <c r="AB22" s="3"/>
      <c r="AC22" s="3"/>
      <c r="AD22" s="3"/>
    </row>
    <row r="23" ht="15" customHeight="1" spans="1:30">
      <c r="A23" s="3" t="str">
        <f>IF(LEN('BIDDER REGISTER'!B23)=0,"",'BIDDER REGISTER'!B23)</f>
        <v/>
      </c>
      <c r="B23" s="35"/>
      <c r="C23" s="35"/>
      <c r="D23" s="35"/>
      <c r="E23" s="35"/>
      <c r="F23" s="35"/>
      <c r="G23" s="35"/>
      <c r="H23" s="35"/>
      <c r="I23" s="35"/>
      <c r="J23" s="3" t="str">
        <f t="shared" si="0"/>
        <v/>
      </c>
      <c r="K23" s="35"/>
      <c r="L23" s="3"/>
      <c r="M23" s="3"/>
      <c r="N23" s="3"/>
      <c r="O23" s="3"/>
      <c r="P23" s="3"/>
      <c r="Q23" s="3"/>
      <c r="R23" s="3"/>
      <c r="S23" s="3"/>
      <c r="T23" s="3"/>
      <c r="U23" s="3"/>
      <c r="V23" s="3"/>
      <c r="W23" s="3"/>
      <c r="X23" s="3"/>
      <c r="Y23" s="3"/>
      <c r="Z23" s="3"/>
      <c r="AA23" s="3"/>
      <c r="AB23" s="3"/>
      <c r="AC23" s="3"/>
      <c r="AD23" s="3"/>
    </row>
    <row r="24" ht="15" customHeight="1" spans="1:30">
      <c r="A24" s="3" t="str">
        <f>IF(LEN('BIDDER REGISTER'!B24)=0,"",'BIDDER REGISTER'!B24)</f>
        <v/>
      </c>
      <c r="B24" s="35"/>
      <c r="C24" s="35"/>
      <c r="D24" s="35"/>
      <c r="E24" s="35"/>
      <c r="F24" s="35"/>
      <c r="G24" s="35"/>
      <c r="H24" s="35"/>
      <c r="I24" s="35"/>
      <c r="J24" s="3" t="str">
        <f t="shared" si="0"/>
        <v/>
      </c>
      <c r="K24" s="35"/>
      <c r="L24" s="3"/>
      <c r="M24" s="3"/>
      <c r="N24" s="3"/>
      <c r="O24" s="3"/>
      <c r="P24" s="3"/>
      <c r="Q24" s="3"/>
      <c r="R24" s="3"/>
      <c r="S24" s="3"/>
      <c r="T24" s="3"/>
      <c r="U24" s="3"/>
      <c r="V24" s="3"/>
      <c r="W24" s="3"/>
      <c r="X24" s="3"/>
      <c r="Y24" s="3"/>
      <c r="Z24" s="3"/>
      <c r="AA24" s="3"/>
      <c r="AB24" s="3"/>
      <c r="AC24" s="3"/>
      <c r="AD24" s="3"/>
    </row>
    <row r="25" ht="15" customHeight="1" spans="1:30">
      <c r="A25" s="3" t="str">
        <f>IF(LEN('BIDDER REGISTER'!B25)=0,"",'BIDDER REGISTER'!B25)</f>
        <v/>
      </c>
      <c r="B25" s="35"/>
      <c r="C25" s="35"/>
      <c r="D25" s="35"/>
      <c r="E25" s="35"/>
      <c r="F25" s="35"/>
      <c r="G25" s="35"/>
      <c r="H25" s="35"/>
      <c r="I25" s="35"/>
      <c r="J25" s="3" t="str">
        <f t="shared" si="0"/>
        <v/>
      </c>
      <c r="K25" s="35"/>
      <c r="L25" s="3"/>
      <c r="M25" s="3"/>
      <c r="N25" s="3"/>
      <c r="O25" s="3"/>
      <c r="P25" s="3"/>
      <c r="Q25" s="3"/>
      <c r="R25" s="3"/>
      <c r="S25" s="3"/>
      <c r="T25" s="3"/>
      <c r="U25" s="3"/>
      <c r="V25" s="3"/>
      <c r="W25" s="3"/>
      <c r="X25" s="3"/>
      <c r="Y25" s="3"/>
      <c r="Z25" s="3"/>
      <c r="AA25" s="3"/>
      <c r="AB25" s="3"/>
      <c r="AC25" s="3"/>
      <c r="AD25" s="3"/>
    </row>
    <row r="26" ht="15" customHeight="1" spans="1:30">
      <c r="A26" s="3" t="str">
        <f>IF(LEN('BIDDER REGISTER'!B26)=0,"",'BIDDER REGISTER'!B26)</f>
        <v/>
      </c>
      <c r="B26" s="35"/>
      <c r="C26" s="35"/>
      <c r="D26" s="35"/>
      <c r="E26" s="35"/>
      <c r="F26" s="35"/>
      <c r="G26" s="35"/>
      <c r="H26" s="35"/>
      <c r="I26" s="35"/>
      <c r="J26" s="3" t="str">
        <f t="shared" si="0"/>
        <v/>
      </c>
      <c r="K26" s="35"/>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conditionalFormatting sqref="J7:J26">
    <cfRule type="expression" dxfId="0" priority="2">
      <formula>J7="Responsive"</formula>
    </cfRule>
    <cfRule type="expression" dxfId="1" priority="3">
      <formula>J7="Non-responsive"</formula>
    </cfRule>
    <cfRule type="expression" dxfId="2" priority="4">
      <formula>J7="Incomplete"</formula>
    </cfRule>
    <cfRule type="cellIs" dxfId="3" priority="5" operator="equal">
      <formula>"Responsive"</formula>
    </cfRule>
    <cfRule type="cellIs" dxfId="4" priority="6" operator="equal">
      <formula>"Non-responsive"</formula>
    </cfRule>
    <cfRule type="cellIs" dxfId="5" priority="7" operator="equal">
      <formula>"Incomplete"</formula>
    </cfRule>
  </conditionalFormatting>
  <conditionalFormatting sqref="B7:I26">
    <cfRule type="cellIs" dxfId="3" priority="8" operator="equal">
      <formula>"Pass"</formula>
    </cfRule>
    <cfRule type="cellIs" dxfId="4" priority="9" operator="equal">
      <formula>"Fail"</formula>
    </cfRule>
    <cfRule type="cellIs" dxfId="6" priority="10" operator="equal">
      <formula>"N/A"</formula>
    </cfRule>
  </conditionalFormatting>
  <dataValidations count="1">
    <dataValidation type="list" sqref="B7:I26">
      <formula1>LISTS!$A$2:$A$4</formula1>
    </dataValidation>
  </dataValidations>
  <pageMargins left="0.7" right="0.7" top="0.75" bottom="0.75" header="0.511811023622047" footer="0.511811023622047"/>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2" ySplit="6" topLeftCell="C7" activePane="bottomRight" state="frozen"/>
      <selection/>
      <selection pane="topRight"/>
      <selection pane="bottomLeft"/>
      <selection pane="bottomRight" activeCell="A1" sqref="A1:L1"/>
    </sheetView>
  </sheetViews>
  <sheetFormatPr defaultColWidth="8.68181818181818" defaultRowHeight="14.5"/>
  <cols>
    <col min="1" max="1" width="22" style="1" customWidth="1"/>
    <col min="2" max="2" width="14" style="1" customWidth="1"/>
    <col min="3" max="3" width="12" style="1" customWidth="1"/>
    <col min="4" max="5" width="14" style="1" customWidth="1"/>
    <col min="6" max="6" width="12" style="1" customWidth="1"/>
    <col min="7" max="7" width="10" style="1" customWidth="1"/>
    <col min="8" max="10" width="12" style="1" customWidth="1"/>
    <col min="11" max="11" width="40" style="1" customWidth="1"/>
  </cols>
  <sheetData>
    <row r="1" ht="30" customHeight="1" spans="1:30">
      <c r="A1" s="2" t="s">
        <v>174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175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44" t="s">
        <v>113</v>
      </c>
      <c r="B5" s="44"/>
      <c r="C5" s="44">
        <f>'CRITERIA BUILDER'!C9</f>
        <v>10</v>
      </c>
      <c r="D5" s="44">
        <f>'CRITERIA BUILDER'!C10</f>
        <v>30</v>
      </c>
      <c r="E5" s="44">
        <f>'CRITERIA BUILDER'!C11</f>
        <v>15</v>
      </c>
      <c r="F5" s="44">
        <f>'CRITERIA BUILDER'!C12</f>
        <v>10</v>
      </c>
      <c r="G5" s="44">
        <f>'CRITERIA BUILDER'!C13</f>
        <v>5</v>
      </c>
      <c r="H5" s="44">
        <f>'CRITERIA BUILDER'!C16</f>
        <v>5</v>
      </c>
      <c r="I5" s="44"/>
      <c r="J5" s="44"/>
      <c r="K5" s="44"/>
      <c r="L5" s="3"/>
      <c r="M5" s="3"/>
      <c r="N5" s="3"/>
      <c r="O5" s="3"/>
      <c r="P5" s="3"/>
      <c r="Q5" s="3"/>
      <c r="R5" s="3"/>
      <c r="S5" s="3"/>
      <c r="T5" s="3"/>
      <c r="U5" s="3"/>
      <c r="V5" s="3"/>
      <c r="W5" s="3"/>
      <c r="X5" s="3"/>
      <c r="Y5" s="3"/>
      <c r="Z5" s="3"/>
      <c r="AA5" s="3"/>
      <c r="AB5" s="3"/>
      <c r="AC5" s="3"/>
      <c r="AD5" s="3"/>
    </row>
    <row r="6" ht="23.25" customHeight="1" spans="1:30">
      <c r="A6" s="6" t="s">
        <v>163</v>
      </c>
      <c r="B6" s="6" t="s">
        <v>176</v>
      </c>
      <c r="C6" s="6" t="s">
        <v>177</v>
      </c>
      <c r="D6" s="6" t="s">
        <v>178</v>
      </c>
      <c r="E6" s="6" t="s">
        <v>179</v>
      </c>
      <c r="F6" s="6" t="s">
        <v>180</v>
      </c>
      <c r="G6" s="6" t="s">
        <v>181</v>
      </c>
      <c r="H6" s="6" t="s">
        <v>155</v>
      </c>
      <c r="I6" s="6" t="s">
        <v>131</v>
      </c>
      <c r="J6" s="6" t="s">
        <v>182</v>
      </c>
      <c r="K6" s="6" t="s">
        <v>183</v>
      </c>
      <c r="L6" s="3"/>
      <c r="M6" s="3"/>
      <c r="N6" s="3"/>
      <c r="O6" s="3"/>
      <c r="P6" s="3"/>
      <c r="Q6" s="3"/>
      <c r="R6" s="3"/>
      <c r="S6" s="3"/>
      <c r="T6" s="3"/>
      <c r="U6" s="3"/>
      <c r="V6" s="3"/>
      <c r="W6" s="3"/>
      <c r="X6" s="3"/>
      <c r="Y6" s="3"/>
      <c r="Z6" s="3"/>
      <c r="AA6" s="3"/>
      <c r="AB6" s="3"/>
      <c r="AC6" s="3"/>
      <c r="AD6" s="3"/>
    </row>
    <row r="7" ht="15" customHeight="1" spans="1:30">
      <c r="A7" s="3" t="str">
        <f>IF(LEN('BIDDER REGISTER'!B7)=0,"",'BIDDER REGISTER'!B7)</f>
        <v/>
      </c>
      <c r="B7" s="3" t="str">
        <f>IF(LEN(A7)=0,"",RESPONSIVENESS!J7)</f>
        <v/>
      </c>
      <c r="C7" s="45"/>
      <c r="D7" s="45"/>
      <c r="E7" s="45"/>
      <c r="F7" s="45"/>
      <c r="G7" s="45"/>
      <c r="H7" s="45"/>
      <c r="I7" s="46" t="str">
        <f t="shared" ref="I7:I26" si="0">IF(LEN(A7)=0,"",IF(C7="",0,MIN(C7,C$5))+IF(D7="",0,MIN(D7,D$5))+IF(E7="",0,MIN(E7,E$5))+IF(F7="",0,MIN(F7,F$5))+IF(G7="",0,MIN(G7,G$5))+IF(H7="",0,MIN(H7,H$5)))</f>
        <v/>
      </c>
      <c r="J7" s="3" t="str">
        <f>IF(LEN(A7)=0,"",IF(I7&gt;='TENDER SETUP'!$B$16,"Yes","No"))</f>
        <v/>
      </c>
      <c r="K7" s="35"/>
      <c r="L7" s="3"/>
      <c r="M7" s="3"/>
      <c r="N7" s="3"/>
      <c r="O7" s="3"/>
      <c r="P7" s="3"/>
      <c r="Q7" s="3"/>
      <c r="R7" s="3"/>
      <c r="S7" s="3"/>
      <c r="T7" s="3"/>
      <c r="U7" s="3"/>
      <c r="V7" s="3"/>
      <c r="W7" s="3"/>
      <c r="X7" s="3"/>
      <c r="Y7" s="3"/>
      <c r="Z7" s="3"/>
      <c r="AA7" s="3"/>
      <c r="AB7" s="3"/>
      <c r="AC7" s="3"/>
      <c r="AD7" s="3"/>
    </row>
    <row r="8" ht="15" customHeight="1" spans="1:30">
      <c r="A8" s="3" t="str">
        <f>IF(LEN('BIDDER REGISTER'!B8)=0,"",'BIDDER REGISTER'!B8)</f>
        <v/>
      </c>
      <c r="B8" s="3" t="str">
        <f>IF(LEN(A8)=0,"",RESPONSIVENESS!J8)</f>
        <v/>
      </c>
      <c r="C8" s="45"/>
      <c r="D8" s="45"/>
      <c r="E8" s="45"/>
      <c r="F8" s="45"/>
      <c r="G8" s="45"/>
      <c r="H8" s="45"/>
      <c r="I8" s="46" t="str">
        <f t="shared" si="0"/>
        <v/>
      </c>
      <c r="J8" s="3" t="str">
        <f>IF(LEN(A8)=0,"",IF(I8&gt;='TENDER SETUP'!$B$16,"Yes","No"))</f>
        <v/>
      </c>
      <c r="K8" s="35"/>
      <c r="L8" s="3"/>
      <c r="M8" s="3"/>
      <c r="N8" s="3"/>
      <c r="O8" s="3"/>
      <c r="P8" s="3"/>
      <c r="Q8" s="3"/>
      <c r="R8" s="3"/>
      <c r="S8" s="3"/>
      <c r="T8" s="3"/>
      <c r="U8" s="3"/>
      <c r="V8" s="3"/>
      <c r="W8" s="3"/>
      <c r="X8" s="3"/>
      <c r="Y8" s="3"/>
      <c r="Z8" s="3"/>
      <c r="AA8" s="3"/>
      <c r="AB8" s="3"/>
      <c r="AC8" s="3"/>
      <c r="AD8" s="3"/>
    </row>
    <row r="9" ht="15" customHeight="1" spans="1:30">
      <c r="A9" s="3" t="str">
        <f>IF(LEN('BIDDER REGISTER'!B9)=0,"",'BIDDER REGISTER'!B9)</f>
        <v/>
      </c>
      <c r="B9" s="3" t="str">
        <f>IF(LEN(A9)=0,"",RESPONSIVENESS!J9)</f>
        <v/>
      </c>
      <c r="C9" s="45"/>
      <c r="D9" s="45"/>
      <c r="E9" s="45"/>
      <c r="F9" s="45"/>
      <c r="G9" s="45"/>
      <c r="H9" s="45"/>
      <c r="I9" s="46" t="str">
        <f t="shared" si="0"/>
        <v/>
      </c>
      <c r="J9" s="3" t="str">
        <f>IF(LEN(A9)=0,"",IF(I9&gt;='TENDER SETUP'!$B$16,"Yes","No"))</f>
        <v/>
      </c>
      <c r="K9" s="35"/>
      <c r="L9" s="3"/>
      <c r="M9" s="3"/>
      <c r="N9" s="3"/>
      <c r="O9" s="3"/>
      <c r="P9" s="3"/>
      <c r="Q9" s="3"/>
      <c r="R9" s="3"/>
      <c r="S9" s="3"/>
      <c r="T9" s="3"/>
      <c r="U9" s="3"/>
      <c r="V9" s="3"/>
      <c r="W9" s="3"/>
      <c r="X9" s="3"/>
      <c r="Y9" s="3"/>
      <c r="Z9" s="3"/>
      <c r="AA9" s="3"/>
      <c r="AB9" s="3"/>
      <c r="AC9" s="3"/>
      <c r="AD9" s="3"/>
    </row>
    <row r="10" ht="15" customHeight="1" spans="1:30">
      <c r="A10" s="3" t="str">
        <f>IF(LEN('BIDDER REGISTER'!B10)=0,"",'BIDDER REGISTER'!B10)</f>
        <v/>
      </c>
      <c r="B10" s="3" t="str">
        <f>IF(LEN(A10)=0,"",RESPONSIVENESS!J10)</f>
        <v/>
      </c>
      <c r="C10" s="45"/>
      <c r="D10" s="45"/>
      <c r="E10" s="45"/>
      <c r="F10" s="45"/>
      <c r="G10" s="45"/>
      <c r="H10" s="45"/>
      <c r="I10" s="46" t="str">
        <f t="shared" si="0"/>
        <v/>
      </c>
      <c r="J10" s="3" t="str">
        <f>IF(LEN(A10)=0,"",IF(I10&gt;='TENDER SETUP'!$B$16,"Yes","No"))</f>
        <v/>
      </c>
      <c r="K10" s="35"/>
      <c r="L10" s="3"/>
      <c r="M10" s="3"/>
      <c r="N10" s="3"/>
      <c r="O10" s="3"/>
      <c r="P10" s="3"/>
      <c r="Q10" s="3"/>
      <c r="R10" s="3"/>
      <c r="S10" s="3"/>
      <c r="T10" s="3"/>
      <c r="U10" s="3"/>
      <c r="V10" s="3"/>
      <c r="W10" s="3"/>
      <c r="X10" s="3"/>
      <c r="Y10" s="3"/>
      <c r="Z10" s="3"/>
      <c r="AA10" s="3"/>
      <c r="AB10" s="3"/>
      <c r="AC10" s="3"/>
      <c r="AD10" s="3"/>
    </row>
    <row r="11" ht="15" customHeight="1" spans="1:30">
      <c r="A11" s="3" t="str">
        <f>IF(LEN('BIDDER REGISTER'!B11)=0,"",'BIDDER REGISTER'!B11)</f>
        <v/>
      </c>
      <c r="B11" s="3" t="str">
        <f>IF(LEN(A11)=0,"",RESPONSIVENESS!J11)</f>
        <v/>
      </c>
      <c r="C11" s="45"/>
      <c r="D11" s="45"/>
      <c r="E11" s="45"/>
      <c r="F11" s="45"/>
      <c r="G11" s="45"/>
      <c r="H11" s="45"/>
      <c r="I11" s="46" t="str">
        <f t="shared" si="0"/>
        <v/>
      </c>
      <c r="J11" s="3" t="str">
        <f>IF(LEN(A11)=0,"",IF(I11&gt;='TENDER SETUP'!$B$16,"Yes","No"))</f>
        <v/>
      </c>
      <c r="K11" s="35"/>
      <c r="L11" s="3"/>
      <c r="M11" s="3"/>
      <c r="N11" s="3"/>
      <c r="O11" s="3"/>
      <c r="P11" s="3"/>
      <c r="Q11" s="3"/>
      <c r="R11" s="3"/>
      <c r="S11" s="3"/>
      <c r="T11" s="3"/>
      <c r="U11" s="3"/>
      <c r="V11" s="3"/>
      <c r="W11" s="3"/>
      <c r="X11" s="3"/>
      <c r="Y11" s="3"/>
      <c r="Z11" s="3"/>
      <c r="AA11" s="3"/>
      <c r="AB11" s="3"/>
      <c r="AC11" s="3"/>
      <c r="AD11" s="3"/>
    </row>
    <row r="12" ht="15" customHeight="1" spans="1:30">
      <c r="A12" s="3" t="str">
        <f>IF(LEN('BIDDER REGISTER'!B12)=0,"",'BIDDER REGISTER'!B12)</f>
        <v/>
      </c>
      <c r="B12" s="3" t="str">
        <f>IF(LEN(A12)=0,"",RESPONSIVENESS!J12)</f>
        <v/>
      </c>
      <c r="C12" s="45"/>
      <c r="D12" s="45"/>
      <c r="E12" s="45"/>
      <c r="F12" s="45"/>
      <c r="G12" s="45"/>
      <c r="H12" s="45"/>
      <c r="I12" s="46" t="str">
        <f t="shared" si="0"/>
        <v/>
      </c>
      <c r="J12" s="3" t="str">
        <f>IF(LEN(A12)=0,"",IF(I12&gt;='TENDER SETUP'!$B$16,"Yes","No"))</f>
        <v/>
      </c>
      <c r="K12" s="35"/>
      <c r="L12" s="3"/>
      <c r="M12" s="3"/>
      <c r="N12" s="3"/>
      <c r="O12" s="3"/>
      <c r="P12" s="3"/>
      <c r="Q12" s="3"/>
      <c r="R12" s="3"/>
      <c r="S12" s="3"/>
      <c r="T12" s="3"/>
      <c r="U12" s="3"/>
      <c r="V12" s="3"/>
      <c r="W12" s="3"/>
      <c r="X12" s="3"/>
      <c r="Y12" s="3"/>
      <c r="Z12" s="3"/>
      <c r="AA12" s="3"/>
      <c r="AB12" s="3"/>
      <c r="AC12" s="3"/>
      <c r="AD12" s="3"/>
    </row>
    <row r="13" ht="15" customHeight="1" spans="1:30">
      <c r="A13" s="3" t="str">
        <f>IF(LEN('BIDDER REGISTER'!B13)=0,"",'BIDDER REGISTER'!B13)</f>
        <v/>
      </c>
      <c r="B13" s="3" t="str">
        <f>IF(LEN(A13)=0,"",RESPONSIVENESS!J13)</f>
        <v/>
      </c>
      <c r="C13" s="45"/>
      <c r="D13" s="45"/>
      <c r="E13" s="45"/>
      <c r="F13" s="45"/>
      <c r="G13" s="45"/>
      <c r="H13" s="45"/>
      <c r="I13" s="46" t="str">
        <f t="shared" si="0"/>
        <v/>
      </c>
      <c r="J13" s="3" t="str">
        <f>IF(LEN(A13)=0,"",IF(I13&gt;='TENDER SETUP'!$B$16,"Yes","No"))</f>
        <v/>
      </c>
      <c r="K13" s="35"/>
      <c r="L13" s="3"/>
      <c r="M13" s="3"/>
      <c r="N13" s="3"/>
      <c r="O13" s="3"/>
      <c r="P13" s="3"/>
      <c r="Q13" s="3"/>
      <c r="R13" s="3"/>
      <c r="S13" s="3"/>
      <c r="T13" s="3"/>
      <c r="U13" s="3"/>
      <c r="V13" s="3"/>
      <c r="W13" s="3"/>
      <c r="X13" s="3"/>
      <c r="Y13" s="3"/>
      <c r="Z13" s="3"/>
      <c r="AA13" s="3"/>
      <c r="AB13" s="3"/>
      <c r="AC13" s="3"/>
      <c r="AD13" s="3"/>
    </row>
    <row r="14" ht="15" customHeight="1" spans="1:30">
      <c r="A14" s="3" t="str">
        <f>IF(LEN('BIDDER REGISTER'!B14)=0,"",'BIDDER REGISTER'!B14)</f>
        <v/>
      </c>
      <c r="B14" s="3" t="str">
        <f>IF(LEN(A14)=0,"",RESPONSIVENESS!J14)</f>
        <v/>
      </c>
      <c r="C14" s="45"/>
      <c r="D14" s="45"/>
      <c r="E14" s="45"/>
      <c r="F14" s="45"/>
      <c r="G14" s="45"/>
      <c r="H14" s="45"/>
      <c r="I14" s="46" t="str">
        <f t="shared" si="0"/>
        <v/>
      </c>
      <c r="J14" s="3" t="str">
        <f>IF(LEN(A14)=0,"",IF(I14&gt;='TENDER SETUP'!$B$16,"Yes","No"))</f>
        <v/>
      </c>
      <c r="K14" s="35"/>
      <c r="L14" s="3"/>
      <c r="M14" s="3"/>
      <c r="N14" s="3"/>
      <c r="O14" s="3"/>
      <c r="P14" s="3"/>
      <c r="Q14" s="3"/>
      <c r="R14" s="3"/>
      <c r="S14" s="3"/>
      <c r="T14" s="3"/>
      <c r="U14" s="3"/>
      <c r="V14" s="3"/>
      <c r="W14" s="3"/>
      <c r="X14" s="3"/>
      <c r="Y14" s="3"/>
      <c r="Z14" s="3"/>
      <c r="AA14" s="3"/>
      <c r="AB14" s="3"/>
      <c r="AC14" s="3"/>
      <c r="AD14" s="3"/>
    </row>
    <row r="15" ht="15" customHeight="1" spans="1:30">
      <c r="A15" s="3" t="str">
        <f>IF(LEN('BIDDER REGISTER'!B15)=0,"",'BIDDER REGISTER'!B15)</f>
        <v/>
      </c>
      <c r="B15" s="3" t="str">
        <f>IF(LEN(A15)=0,"",RESPONSIVENESS!J15)</f>
        <v/>
      </c>
      <c r="C15" s="45"/>
      <c r="D15" s="45"/>
      <c r="E15" s="45"/>
      <c r="F15" s="45"/>
      <c r="G15" s="45"/>
      <c r="H15" s="45"/>
      <c r="I15" s="46" t="str">
        <f t="shared" si="0"/>
        <v/>
      </c>
      <c r="J15" s="3" t="str">
        <f>IF(LEN(A15)=0,"",IF(I15&gt;='TENDER SETUP'!$B$16,"Yes","No"))</f>
        <v/>
      </c>
      <c r="K15" s="35"/>
      <c r="L15" s="3"/>
      <c r="M15" s="3"/>
      <c r="N15" s="3"/>
      <c r="O15" s="3"/>
      <c r="P15" s="3"/>
      <c r="Q15" s="3"/>
      <c r="R15" s="3"/>
      <c r="S15" s="3"/>
      <c r="T15" s="3"/>
      <c r="U15" s="3"/>
      <c r="V15" s="3"/>
      <c r="W15" s="3"/>
      <c r="X15" s="3"/>
      <c r="Y15" s="3"/>
      <c r="Z15" s="3"/>
      <c r="AA15" s="3"/>
      <c r="AB15" s="3"/>
      <c r="AC15" s="3"/>
      <c r="AD15" s="3"/>
    </row>
    <row r="16" ht="15" customHeight="1" spans="1:30">
      <c r="A16" s="3" t="str">
        <f>IF(LEN('BIDDER REGISTER'!B16)=0,"",'BIDDER REGISTER'!B16)</f>
        <v/>
      </c>
      <c r="B16" s="3" t="str">
        <f>IF(LEN(A16)=0,"",RESPONSIVENESS!J16)</f>
        <v/>
      </c>
      <c r="C16" s="45"/>
      <c r="D16" s="45"/>
      <c r="E16" s="45"/>
      <c r="F16" s="45"/>
      <c r="G16" s="45"/>
      <c r="H16" s="45"/>
      <c r="I16" s="46" t="str">
        <f t="shared" si="0"/>
        <v/>
      </c>
      <c r="J16" s="3" t="str">
        <f>IF(LEN(A16)=0,"",IF(I16&gt;='TENDER SETUP'!$B$16,"Yes","No"))</f>
        <v/>
      </c>
      <c r="K16" s="35"/>
      <c r="L16" s="3"/>
      <c r="M16" s="3"/>
      <c r="N16" s="3"/>
      <c r="O16" s="3"/>
      <c r="P16" s="3"/>
      <c r="Q16" s="3"/>
      <c r="R16" s="3"/>
      <c r="S16" s="3"/>
      <c r="T16" s="3"/>
      <c r="U16" s="3"/>
      <c r="V16" s="3"/>
      <c r="W16" s="3"/>
      <c r="X16" s="3"/>
      <c r="Y16" s="3"/>
      <c r="Z16" s="3"/>
      <c r="AA16" s="3"/>
      <c r="AB16" s="3"/>
      <c r="AC16" s="3"/>
      <c r="AD16" s="3"/>
    </row>
    <row r="17" ht="15" customHeight="1" spans="1:30">
      <c r="A17" s="3" t="str">
        <f>IF(LEN('BIDDER REGISTER'!B17)=0,"",'BIDDER REGISTER'!B17)</f>
        <v/>
      </c>
      <c r="B17" s="3" t="str">
        <f>IF(LEN(A17)=0,"",RESPONSIVENESS!J17)</f>
        <v/>
      </c>
      <c r="C17" s="45"/>
      <c r="D17" s="45"/>
      <c r="E17" s="45"/>
      <c r="F17" s="45"/>
      <c r="G17" s="45"/>
      <c r="H17" s="45"/>
      <c r="I17" s="46" t="str">
        <f t="shared" si="0"/>
        <v/>
      </c>
      <c r="J17" s="3" t="str">
        <f>IF(LEN(A17)=0,"",IF(I17&gt;='TENDER SETUP'!$B$16,"Yes","No"))</f>
        <v/>
      </c>
      <c r="K17" s="35"/>
      <c r="L17" s="3"/>
      <c r="M17" s="3"/>
      <c r="N17" s="3"/>
      <c r="O17" s="3"/>
      <c r="P17" s="3"/>
      <c r="Q17" s="3"/>
      <c r="R17" s="3"/>
      <c r="S17" s="3"/>
      <c r="T17" s="3"/>
      <c r="U17" s="3"/>
      <c r="V17" s="3"/>
      <c r="W17" s="3"/>
      <c r="X17" s="3"/>
      <c r="Y17" s="3"/>
      <c r="Z17" s="3"/>
      <c r="AA17" s="3"/>
      <c r="AB17" s="3"/>
      <c r="AC17" s="3"/>
      <c r="AD17" s="3"/>
    </row>
    <row r="18" ht="15" customHeight="1" spans="1:30">
      <c r="A18" s="3" t="str">
        <f>IF(LEN('BIDDER REGISTER'!B18)=0,"",'BIDDER REGISTER'!B18)</f>
        <v/>
      </c>
      <c r="B18" s="3" t="str">
        <f>IF(LEN(A18)=0,"",RESPONSIVENESS!J18)</f>
        <v/>
      </c>
      <c r="C18" s="45"/>
      <c r="D18" s="45"/>
      <c r="E18" s="45"/>
      <c r="F18" s="45"/>
      <c r="G18" s="45"/>
      <c r="H18" s="45"/>
      <c r="I18" s="46" t="str">
        <f t="shared" si="0"/>
        <v/>
      </c>
      <c r="J18" s="3" t="str">
        <f>IF(LEN(A18)=0,"",IF(I18&gt;='TENDER SETUP'!$B$16,"Yes","No"))</f>
        <v/>
      </c>
      <c r="K18" s="35"/>
      <c r="L18" s="3"/>
      <c r="M18" s="3"/>
      <c r="N18" s="3"/>
      <c r="O18" s="3"/>
      <c r="P18" s="3"/>
      <c r="Q18" s="3"/>
      <c r="R18" s="3"/>
      <c r="S18" s="3"/>
      <c r="T18" s="3"/>
      <c r="U18" s="3"/>
      <c r="V18" s="3"/>
      <c r="W18" s="3"/>
      <c r="X18" s="3"/>
      <c r="Y18" s="3"/>
      <c r="Z18" s="3"/>
      <c r="AA18" s="3"/>
      <c r="AB18" s="3"/>
      <c r="AC18" s="3"/>
      <c r="AD18" s="3"/>
    </row>
    <row r="19" ht="15" customHeight="1" spans="1:30">
      <c r="A19" s="3" t="str">
        <f>IF(LEN('BIDDER REGISTER'!B19)=0,"",'BIDDER REGISTER'!B19)</f>
        <v/>
      </c>
      <c r="B19" s="3" t="str">
        <f>IF(LEN(A19)=0,"",RESPONSIVENESS!J19)</f>
        <v/>
      </c>
      <c r="C19" s="45"/>
      <c r="D19" s="45"/>
      <c r="E19" s="45"/>
      <c r="F19" s="45"/>
      <c r="G19" s="45"/>
      <c r="H19" s="45"/>
      <c r="I19" s="46" t="str">
        <f t="shared" si="0"/>
        <v/>
      </c>
      <c r="J19" s="3" t="str">
        <f>IF(LEN(A19)=0,"",IF(I19&gt;='TENDER SETUP'!$B$16,"Yes","No"))</f>
        <v/>
      </c>
      <c r="K19" s="35"/>
      <c r="L19" s="3"/>
      <c r="M19" s="3"/>
      <c r="N19" s="3"/>
      <c r="O19" s="3"/>
      <c r="P19" s="3"/>
      <c r="Q19" s="3"/>
      <c r="R19" s="3"/>
      <c r="S19" s="3"/>
      <c r="T19" s="3"/>
      <c r="U19" s="3"/>
      <c r="V19" s="3"/>
      <c r="W19" s="3"/>
      <c r="X19" s="3"/>
      <c r="Y19" s="3"/>
      <c r="Z19" s="3"/>
      <c r="AA19" s="3"/>
      <c r="AB19" s="3"/>
      <c r="AC19" s="3"/>
      <c r="AD19" s="3"/>
    </row>
    <row r="20" ht="15" customHeight="1" spans="1:30">
      <c r="A20" s="3" t="str">
        <f>IF(LEN('BIDDER REGISTER'!B20)=0,"",'BIDDER REGISTER'!B20)</f>
        <v/>
      </c>
      <c r="B20" s="3" t="str">
        <f>IF(LEN(A20)=0,"",RESPONSIVENESS!J20)</f>
        <v/>
      </c>
      <c r="C20" s="45"/>
      <c r="D20" s="45"/>
      <c r="E20" s="45"/>
      <c r="F20" s="45"/>
      <c r="G20" s="45"/>
      <c r="H20" s="45"/>
      <c r="I20" s="46" t="str">
        <f t="shared" si="0"/>
        <v/>
      </c>
      <c r="J20" s="3" t="str">
        <f>IF(LEN(A20)=0,"",IF(I20&gt;='TENDER SETUP'!$B$16,"Yes","No"))</f>
        <v/>
      </c>
      <c r="K20" s="35"/>
      <c r="L20" s="3"/>
      <c r="M20" s="3"/>
      <c r="N20" s="3"/>
      <c r="O20" s="3"/>
      <c r="P20" s="3"/>
      <c r="Q20" s="3"/>
      <c r="R20" s="3"/>
      <c r="S20" s="3"/>
      <c r="T20" s="3"/>
      <c r="U20" s="3"/>
      <c r="V20" s="3"/>
      <c r="W20" s="3"/>
      <c r="X20" s="3"/>
      <c r="Y20" s="3"/>
      <c r="Z20" s="3"/>
      <c r="AA20" s="3"/>
      <c r="AB20" s="3"/>
      <c r="AC20" s="3"/>
      <c r="AD20" s="3"/>
    </row>
    <row r="21" ht="15" customHeight="1" spans="1:30">
      <c r="A21" s="3" t="str">
        <f>IF(LEN('BIDDER REGISTER'!B21)=0,"",'BIDDER REGISTER'!B21)</f>
        <v/>
      </c>
      <c r="B21" s="3" t="str">
        <f>IF(LEN(A21)=0,"",RESPONSIVENESS!J21)</f>
        <v/>
      </c>
      <c r="C21" s="45"/>
      <c r="D21" s="45"/>
      <c r="E21" s="45"/>
      <c r="F21" s="45"/>
      <c r="G21" s="45"/>
      <c r="H21" s="45"/>
      <c r="I21" s="46" t="str">
        <f t="shared" si="0"/>
        <v/>
      </c>
      <c r="J21" s="3" t="str">
        <f>IF(LEN(A21)=0,"",IF(I21&gt;='TENDER SETUP'!$B$16,"Yes","No"))</f>
        <v/>
      </c>
      <c r="K21" s="35"/>
      <c r="L21" s="3"/>
      <c r="M21" s="3"/>
      <c r="N21" s="3"/>
      <c r="O21" s="3"/>
      <c r="P21" s="3"/>
      <c r="Q21" s="3"/>
      <c r="R21" s="3"/>
      <c r="S21" s="3"/>
      <c r="T21" s="3"/>
      <c r="U21" s="3"/>
      <c r="V21" s="3"/>
      <c r="W21" s="3"/>
      <c r="X21" s="3"/>
      <c r="Y21" s="3"/>
      <c r="Z21" s="3"/>
      <c r="AA21" s="3"/>
      <c r="AB21" s="3"/>
      <c r="AC21" s="3"/>
      <c r="AD21" s="3"/>
    </row>
    <row r="22" ht="15" customHeight="1" spans="1:30">
      <c r="A22" s="3" t="str">
        <f>IF(LEN('BIDDER REGISTER'!B22)=0,"",'BIDDER REGISTER'!B22)</f>
        <v/>
      </c>
      <c r="B22" s="3" t="str">
        <f>IF(LEN(A22)=0,"",RESPONSIVENESS!J22)</f>
        <v/>
      </c>
      <c r="C22" s="45"/>
      <c r="D22" s="45"/>
      <c r="E22" s="45"/>
      <c r="F22" s="45"/>
      <c r="G22" s="45"/>
      <c r="H22" s="45"/>
      <c r="I22" s="46" t="str">
        <f t="shared" si="0"/>
        <v/>
      </c>
      <c r="J22" s="3" t="str">
        <f>IF(LEN(A22)=0,"",IF(I22&gt;='TENDER SETUP'!$B$16,"Yes","No"))</f>
        <v/>
      </c>
      <c r="K22" s="35"/>
      <c r="L22" s="3"/>
      <c r="M22" s="3"/>
      <c r="N22" s="3"/>
      <c r="O22" s="3"/>
      <c r="P22" s="3"/>
      <c r="Q22" s="3"/>
      <c r="R22" s="3"/>
      <c r="S22" s="3"/>
      <c r="T22" s="3"/>
      <c r="U22" s="3"/>
      <c r="V22" s="3"/>
      <c r="W22" s="3"/>
      <c r="X22" s="3"/>
      <c r="Y22" s="3"/>
      <c r="Z22" s="3"/>
      <c r="AA22" s="3"/>
      <c r="AB22" s="3"/>
      <c r="AC22" s="3"/>
      <c r="AD22" s="3"/>
    </row>
    <row r="23" ht="15" customHeight="1" spans="1:30">
      <c r="A23" s="3" t="str">
        <f>IF(LEN('BIDDER REGISTER'!B23)=0,"",'BIDDER REGISTER'!B23)</f>
        <v/>
      </c>
      <c r="B23" s="3" t="str">
        <f>IF(LEN(A23)=0,"",RESPONSIVENESS!J23)</f>
        <v/>
      </c>
      <c r="C23" s="45"/>
      <c r="D23" s="45"/>
      <c r="E23" s="45"/>
      <c r="F23" s="45"/>
      <c r="G23" s="45"/>
      <c r="H23" s="45"/>
      <c r="I23" s="46" t="str">
        <f t="shared" si="0"/>
        <v/>
      </c>
      <c r="J23" s="3" t="str">
        <f>IF(LEN(A23)=0,"",IF(I23&gt;='TENDER SETUP'!$B$16,"Yes","No"))</f>
        <v/>
      </c>
      <c r="K23" s="35"/>
      <c r="L23" s="3"/>
      <c r="M23" s="3"/>
      <c r="N23" s="3"/>
      <c r="O23" s="3"/>
      <c r="P23" s="3"/>
      <c r="Q23" s="3"/>
      <c r="R23" s="3"/>
      <c r="S23" s="3"/>
      <c r="T23" s="3"/>
      <c r="U23" s="3"/>
      <c r="V23" s="3"/>
      <c r="W23" s="3"/>
      <c r="X23" s="3"/>
      <c r="Y23" s="3"/>
      <c r="Z23" s="3"/>
      <c r="AA23" s="3"/>
      <c r="AB23" s="3"/>
      <c r="AC23" s="3"/>
      <c r="AD23" s="3"/>
    </row>
    <row r="24" ht="15" customHeight="1" spans="1:30">
      <c r="A24" s="3" t="str">
        <f>IF(LEN('BIDDER REGISTER'!B24)=0,"",'BIDDER REGISTER'!B24)</f>
        <v/>
      </c>
      <c r="B24" s="3" t="str">
        <f>IF(LEN(A24)=0,"",RESPONSIVENESS!J24)</f>
        <v/>
      </c>
      <c r="C24" s="45"/>
      <c r="D24" s="45"/>
      <c r="E24" s="45"/>
      <c r="F24" s="45"/>
      <c r="G24" s="45"/>
      <c r="H24" s="45"/>
      <c r="I24" s="46" t="str">
        <f t="shared" si="0"/>
        <v/>
      </c>
      <c r="J24" s="3" t="str">
        <f>IF(LEN(A24)=0,"",IF(I24&gt;='TENDER SETUP'!$B$16,"Yes","No"))</f>
        <v/>
      </c>
      <c r="K24" s="35"/>
      <c r="L24" s="3"/>
      <c r="M24" s="3"/>
      <c r="N24" s="3"/>
      <c r="O24" s="3"/>
      <c r="P24" s="3"/>
      <c r="Q24" s="3"/>
      <c r="R24" s="3"/>
      <c r="S24" s="3"/>
      <c r="T24" s="3"/>
      <c r="U24" s="3"/>
      <c r="V24" s="3"/>
      <c r="W24" s="3"/>
      <c r="X24" s="3"/>
      <c r="Y24" s="3"/>
      <c r="Z24" s="3"/>
      <c r="AA24" s="3"/>
      <c r="AB24" s="3"/>
      <c r="AC24" s="3"/>
      <c r="AD24" s="3"/>
    </row>
    <row r="25" ht="15" customHeight="1" spans="1:30">
      <c r="A25" s="3" t="str">
        <f>IF(LEN('BIDDER REGISTER'!B25)=0,"",'BIDDER REGISTER'!B25)</f>
        <v/>
      </c>
      <c r="B25" s="3" t="str">
        <f>IF(LEN(A25)=0,"",RESPONSIVENESS!J25)</f>
        <v/>
      </c>
      <c r="C25" s="45"/>
      <c r="D25" s="45"/>
      <c r="E25" s="45"/>
      <c r="F25" s="45"/>
      <c r="G25" s="45"/>
      <c r="H25" s="45"/>
      <c r="I25" s="46" t="str">
        <f t="shared" si="0"/>
        <v/>
      </c>
      <c r="J25" s="3" t="str">
        <f>IF(LEN(A25)=0,"",IF(I25&gt;='TENDER SETUP'!$B$16,"Yes","No"))</f>
        <v/>
      </c>
      <c r="K25" s="35"/>
      <c r="L25" s="3"/>
      <c r="M25" s="3"/>
      <c r="N25" s="3"/>
      <c r="O25" s="3"/>
      <c r="P25" s="3"/>
      <c r="Q25" s="3"/>
      <c r="R25" s="3"/>
      <c r="S25" s="3"/>
      <c r="T25" s="3"/>
      <c r="U25" s="3"/>
      <c r="V25" s="3"/>
      <c r="W25" s="3"/>
      <c r="X25" s="3"/>
      <c r="Y25" s="3"/>
      <c r="Z25" s="3"/>
      <c r="AA25" s="3"/>
      <c r="AB25" s="3"/>
      <c r="AC25" s="3"/>
      <c r="AD25" s="3"/>
    </row>
    <row r="26" ht="15" customHeight="1" spans="1:30">
      <c r="A26" s="3" t="str">
        <f>IF(LEN('BIDDER REGISTER'!B26)=0,"",'BIDDER REGISTER'!B26)</f>
        <v/>
      </c>
      <c r="B26" s="3" t="str">
        <f>IF(LEN(A26)=0,"",RESPONSIVENESS!J26)</f>
        <v/>
      </c>
      <c r="C26" s="45"/>
      <c r="D26" s="45"/>
      <c r="E26" s="45"/>
      <c r="F26" s="45"/>
      <c r="G26" s="45"/>
      <c r="H26" s="45"/>
      <c r="I26" s="46" t="str">
        <f t="shared" si="0"/>
        <v/>
      </c>
      <c r="J26" s="3" t="str">
        <f>IF(LEN(A26)=0,"",IF(I26&gt;='TENDER SETUP'!$B$16,"Yes","No"))</f>
        <v/>
      </c>
      <c r="K26" s="35"/>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conditionalFormatting sqref="J7:J26">
    <cfRule type="expression" dxfId="0" priority="2">
      <formula>J7="Yes"</formula>
    </cfRule>
    <cfRule type="expression" dxfId="1" priority="3">
      <formula>J7="No"</formula>
    </cfRule>
    <cfRule type="cellIs" dxfId="3" priority="4" operator="equal">
      <formula>"Yes"</formula>
    </cfRule>
    <cfRule type="cellIs" dxfId="4" priority="5" operator="equal">
      <formula>"No"</formula>
    </cfRule>
  </conditionalFormatting>
  <dataValidations count="6">
    <dataValidation type="whole" operator="between" allowBlank="1" showErrorMessage="1" errorTitle="Over-score" error="Score cannot exceed the maximum for this criterion." promptTitle="Score" prompt="Enter a whole score. Maximum allowed shown in row 5." sqref="C7:C26">
      <formula1>0</formula1>
      <formula2>'CRITERIA BUILDER'!$C$9</formula2>
    </dataValidation>
    <dataValidation type="whole" operator="between" allowBlank="1" showErrorMessage="1" errorTitle="Over-score" error="Score cannot exceed the maximum for this criterion." promptTitle="Score" prompt="Enter a whole score. Maximum allowed shown in row 5." sqref="D7:D26">
      <formula1>0</formula1>
      <formula2>'CRITERIA BUILDER'!$C$10</formula2>
    </dataValidation>
    <dataValidation type="whole" operator="between" allowBlank="1" showErrorMessage="1" errorTitle="Over-score" error="Score cannot exceed the maximum for this criterion." promptTitle="Score" prompt="Enter a whole score. Maximum allowed shown in row 5." sqref="E7:E26">
      <formula1>0</formula1>
      <formula2>'CRITERIA BUILDER'!$C$11</formula2>
    </dataValidation>
    <dataValidation type="whole" operator="between" allowBlank="1" showErrorMessage="1" errorTitle="Over-score" error="Score cannot exceed the maximum for this criterion." promptTitle="Score" prompt="Enter a whole score. Maximum allowed shown in row 5." sqref="F7:F26">
      <formula1>0</formula1>
      <formula2>'CRITERIA BUILDER'!$C$12</formula2>
    </dataValidation>
    <dataValidation type="whole" operator="between" allowBlank="1" showErrorMessage="1" errorTitle="Over-score" error="Score cannot exceed the maximum for this criterion." promptTitle="Score" prompt="Enter a whole score. Maximum allowed shown in row 5." sqref="G7:G26">
      <formula1>0</formula1>
      <formula2>'CRITERIA BUILDER'!$C$13</formula2>
    </dataValidation>
    <dataValidation type="whole" operator="between" allowBlank="1" showErrorMessage="1" errorTitle="Over-score" error="Score cannot exceed the maximum for this criterion." promptTitle="Score" prompt="Enter a whole score. Maximum allowed shown in row 5." sqref="H7:H26">
      <formula1>0</formula1>
      <formula2>'CRITERIA BUILDER'!$C$16</formula2>
    </dataValidation>
  </dataValidations>
  <pageMargins left="0.7" right="0.7" top="0.75" bottom="0.75"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3" ySplit="6" topLeftCell="D7" activePane="bottomRight" state="frozen"/>
      <selection/>
      <selection pane="topRight"/>
      <selection pane="bottomLeft"/>
      <selection pane="bottomRight" activeCell="A1" sqref="A1:L1"/>
    </sheetView>
  </sheetViews>
  <sheetFormatPr defaultColWidth="8.68181818181818" defaultRowHeight="14.5"/>
  <cols>
    <col min="1" max="1" width="22" style="1" customWidth="1"/>
    <col min="2" max="2" width="6" style="1" customWidth="1"/>
    <col min="3" max="3" width="18" style="1" customWidth="1"/>
    <col min="4" max="12" width="12" style="1" customWidth="1"/>
    <col min="13" max="14" width="14" style="1" customWidth="1"/>
    <col min="15" max="16" width="12" style="1" customWidth="1"/>
    <col min="17" max="23" width="10" style="1" customWidth="1"/>
    <col min="24" max="24" width="12" style="1" customWidth="1"/>
    <col min="25" max="25" width="10" style="1" customWidth="1"/>
    <col min="26" max="26" width="12" style="1" customWidth="1"/>
    <col min="27" max="27" width="10" style="1" customWidth="1"/>
    <col min="28" max="28" width="18" style="1" customWidth="1"/>
    <col min="29" max="29" width="10" style="1" customWidth="1"/>
    <col min="30" max="30" width="60" style="1" customWidth="1"/>
  </cols>
  <sheetData>
    <row r="1" ht="30" customHeight="1" spans="1:30">
      <c r="A1" s="2" t="s">
        <v>29</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184</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23.25" customHeight="1" spans="1:30">
      <c r="A6" s="6" t="s">
        <v>163</v>
      </c>
      <c r="B6" s="6" t="s">
        <v>185</v>
      </c>
      <c r="C6" s="6" t="s">
        <v>186</v>
      </c>
      <c r="D6" s="6" t="s">
        <v>187</v>
      </c>
      <c r="E6" s="6" t="s">
        <v>188</v>
      </c>
      <c r="F6" s="6" t="s">
        <v>189</v>
      </c>
      <c r="G6" s="6" t="s">
        <v>190</v>
      </c>
      <c r="H6" s="6" t="s">
        <v>191</v>
      </c>
      <c r="I6" s="6" t="s">
        <v>192</v>
      </c>
      <c r="J6" s="6" t="s">
        <v>193</v>
      </c>
      <c r="K6" s="6" t="s">
        <v>194</v>
      </c>
      <c r="L6" s="6" t="s">
        <v>195</v>
      </c>
      <c r="M6" s="6" t="s">
        <v>196</v>
      </c>
      <c r="N6" s="6" t="s">
        <v>197</v>
      </c>
      <c r="O6" s="6" t="s">
        <v>198</v>
      </c>
      <c r="P6" s="6" t="s">
        <v>199</v>
      </c>
      <c r="Q6" s="6" t="s">
        <v>200</v>
      </c>
      <c r="R6" s="6" t="s">
        <v>201</v>
      </c>
      <c r="S6" s="6" t="s">
        <v>202</v>
      </c>
      <c r="T6" s="6" t="s">
        <v>203</v>
      </c>
      <c r="U6" s="6" t="s">
        <v>204</v>
      </c>
      <c r="V6" s="6" t="s">
        <v>205</v>
      </c>
      <c r="W6" s="6" t="s">
        <v>206</v>
      </c>
      <c r="X6" s="6" t="s">
        <v>207</v>
      </c>
      <c r="Y6" s="6" t="s">
        <v>208</v>
      </c>
      <c r="Z6" s="6" t="s">
        <v>209</v>
      </c>
      <c r="AA6" s="6" t="s">
        <v>210</v>
      </c>
      <c r="AB6" s="6" t="s">
        <v>211</v>
      </c>
      <c r="AC6" s="6" t="s">
        <v>212</v>
      </c>
      <c r="AD6" s="6" t="s">
        <v>213</v>
      </c>
    </row>
    <row r="7" ht="15" customHeight="1" spans="1:30">
      <c r="A7" s="3" t="str">
        <f>IF(LEN('BIDDER REGISTER'!B7)=0,"",'BIDDER REGISTER'!B7)</f>
        <v/>
      </c>
      <c r="B7" s="35"/>
      <c r="C7" s="35"/>
      <c r="D7" s="39"/>
      <c r="E7" s="39"/>
      <c r="F7" s="39"/>
      <c r="G7" s="39"/>
      <c r="H7" s="39"/>
      <c r="I7" s="39"/>
      <c r="J7" s="39"/>
      <c r="K7" s="39"/>
      <c r="L7" s="39"/>
      <c r="M7" s="39"/>
      <c r="N7" s="39"/>
      <c r="O7" s="39"/>
      <c r="P7" s="39"/>
      <c r="Q7" s="42" t="str">
        <f t="shared" ref="Q7:Q26" si="0">IF(OR(LEN(A7)=0,D7="",E7=""),"",IFERROR(E7/D7,""))</f>
        <v/>
      </c>
      <c r="R7" s="42" t="str">
        <f t="shared" ref="R7:R26" si="1">IF(OR(LEN(A7)=0,D7="",F7=""),"",IFERROR(F7/D7,""))</f>
        <v/>
      </c>
      <c r="S7" s="43" t="str">
        <f t="shared" ref="S7:S26" si="2">IF(OR(LEN(A7)=0,G7="",I7=""),"",IFERROR(G7/I7,""))</f>
        <v/>
      </c>
      <c r="T7" s="43" t="str">
        <f t="shared" ref="T7:T26" si="3">IF(OR(LEN(A7)=0,G7="",I7=""),"",IFERROR((G7-IF(H7="",0,H7))/I7,""))</f>
        <v/>
      </c>
      <c r="U7" s="43" t="str">
        <f t="shared" ref="U7:U26" si="4">IF(OR(LEN(A7)=0,K7="",L7="",L7&lt;=0),"",IFERROR(K7/L7,""))</f>
        <v/>
      </c>
      <c r="V7" s="42" t="str">
        <f t="shared" ref="V7:V26" si="5">IF(OR(LEN(A7)=0,F7="",J7=""),"",IFERROR(F7/J7,""))</f>
        <v/>
      </c>
      <c r="W7" s="42" t="str">
        <f t="shared" ref="W7:W26" si="6">IF(OR(LEN(A7)=0,F7="",L7="",L7&lt;=0),"",IFERROR(F7/L7,""))</f>
        <v/>
      </c>
      <c r="X7" s="43" t="str">
        <f t="shared" ref="X7:X26" si="7">IF(OR(LEN(A7)=0,D7="",M7=""),"",IF(N7&lt;&gt;"",IFERROR(D7/AVERAGE(M7,N7),""),IFERROR(D7/M7,"")))</f>
        <v/>
      </c>
      <c r="Y7" s="43" t="str">
        <f t="shared" ref="Y7:Y26" si="8">IF(OR(LEN(A7)=0,D7="",J7=""),"",IFERROR(D7/J7,""))</f>
        <v/>
      </c>
      <c r="Z7" s="40" t="str">
        <f t="shared" ref="Z7:Z26" si="9">IF(OR(LEN(A7)=0,G7="",I7=""),"",G7-I7)</f>
        <v/>
      </c>
      <c r="AA7" s="43" t="str">
        <f t="shared" ref="AA7:AA26" si="10">IF(OR(LEN(A7)=0,O7="",P7="",P7&lt;=0),"",IFERROR(O7/P7,""))</f>
        <v/>
      </c>
      <c r="AB7" s="3" t="str">
        <f t="shared" ref="AB7:AB26" si="11">IF(LEN(A7)=0,"",IF(AND(ISNUMBER(L7),L7&lt;=0),"High Risk",IF(COUNT(D7:L7)=0,"No Data",IF(COUNTBLANK(D7:L7)&gt;0,"Incomplete",CHOOSE(1+IF(AND(ISNUMBER(S7),S7&gt;=1.2),1,0)+IF(AND(ISNUMBER(T7),T7&gt;=0.8),1,0)+IF(AND(ISNUMBER(U7),U7&gt;0,U7&lt;=1.5),1,0)+IF(AND(ISNUMBER(R7),R7&gt;=0),1,0)+IF(AND(ISNUMBER(Z7),Z7&gt;0),1,0),"High Risk","High Risk","Stretched","Adequate with Caution","Adequate","Strong")))))</f>
        <v/>
      </c>
      <c r="AC7" s="43" t="str">
        <f>IF(LEN(A7)=0,"",IF(AB7="Strong",'CRITERIA BUILDER'!$C$14,IF(AB7="Adequate",'CRITERIA BUILDER'!$C$14*0.8,IF(AB7="Adequate with Caution",'CRITERIA BUILDER'!$C$14*0.6,IF(AB7="Stretched",'CRITERIA BUILDER'!$C$14*0.3,0)))))</f>
        <v/>
      </c>
      <c r="AD7" s="9" t="str">
        <f t="shared" ref="AD7:AD26" si="12">IF(LEN(A7)=0,"",IF(AND(ISNUMBER(L7),L7&lt;=0),A7&amp;" shows negative equity. Screened as High Risk. The Committee should request clarification on accumulated losses, capital position, and any restructuring or capital injection before relying on this bidder.",A7&amp;" is screened as "&amp;AB7&amp;" on financial capacity. The Committee should record the statement year, line items used, and any limitation or clarification required."))</f>
        <v/>
      </c>
    </row>
    <row r="8" ht="15" customHeight="1" spans="1:30">
      <c r="A8" s="3" t="str">
        <f>IF(LEN('BIDDER REGISTER'!B8)=0,"",'BIDDER REGISTER'!B8)</f>
        <v/>
      </c>
      <c r="B8" s="35"/>
      <c r="C8" s="35"/>
      <c r="D8" s="39"/>
      <c r="E8" s="39"/>
      <c r="F8" s="39"/>
      <c r="G8" s="39"/>
      <c r="H8" s="39"/>
      <c r="I8" s="39"/>
      <c r="J8" s="39"/>
      <c r="K8" s="39"/>
      <c r="L8" s="39"/>
      <c r="M8" s="39"/>
      <c r="N8" s="39"/>
      <c r="O8" s="39"/>
      <c r="P8" s="39"/>
      <c r="Q8" s="42" t="str">
        <f t="shared" si="0"/>
        <v/>
      </c>
      <c r="R8" s="42" t="str">
        <f t="shared" si="1"/>
        <v/>
      </c>
      <c r="S8" s="43" t="str">
        <f t="shared" si="2"/>
        <v/>
      </c>
      <c r="T8" s="43" t="str">
        <f t="shared" si="3"/>
        <v/>
      </c>
      <c r="U8" s="43" t="str">
        <f t="shared" si="4"/>
        <v/>
      </c>
      <c r="V8" s="42" t="str">
        <f t="shared" si="5"/>
        <v/>
      </c>
      <c r="W8" s="42" t="str">
        <f t="shared" si="6"/>
        <v/>
      </c>
      <c r="X8" s="43" t="str">
        <f t="shared" si="7"/>
        <v/>
      </c>
      <c r="Y8" s="43" t="str">
        <f t="shared" si="8"/>
        <v/>
      </c>
      <c r="Z8" s="40" t="str">
        <f t="shared" si="9"/>
        <v/>
      </c>
      <c r="AA8" s="43" t="str">
        <f t="shared" si="10"/>
        <v/>
      </c>
      <c r="AB8" s="3" t="str">
        <f t="shared" si="11"/>
        <v/>
      </c>
      <c r="AC8" s="43" t="str">
        <f>IF(LEN(A8)=0,"",IF(AB8="Strong",'CRITERIA BUILDER'!$C$14,IF(AB8="Adequate",'CRITERIA BUILDER'!$C$14*0.8,IF(AB8="Adequate with Caution",'CRITERIA BUILDER'!$C$14*0.6,IF(AB8="Stretched",'CRITERIA BUILDER'!$C$14*0.3,0)))))</f>
        <v/>
      </c>
      <c r="AD8" s="9" t="str">
        <f t="shared" si="12"/>
        <v/>
      </c>
    </row>
    <row r="9" ht="15" customHeight="1" spans="1:30">
      <c r="A9" s="3" t="str">
        <f>IF(LEN('BIDDER REGISTER'!B9)=0,"",'BIDDER REGISTER'!B9)</f>
        <v/>
      </c>
      <c r="B9" s="35"/>
      <c r="C9" s="35"/>
      <c r="D9" s="39"/>
      <c r="E9" s="39"/>
      <c r="F9" s="39"/>
      <c r="G9" s="39"/>
      <c r="H9" s="39"/>
      <c r="I9" s="39"/>
      <c r="J9" s="39"/>
      <c r="K9" s="39"/>
      <c r="L9" s="39"/>
      <c r="M9" s="39"/>
      <c r="N9" s="39"/>
      <c r="O9" s="39"/>
      <c r="P9" s="39"/>
      <c r="Q9" s="42" t="str">
        <f t="shared" si="0"/>
        <v/>
      </c>
      <c r="R9" s="42" t="str">
        <f t="shared" si="1"/>
        <v/>
      </c>
      <c r="S9" s="43" t="str">
        <f t="shared" si="2"/>
        <v/>
      </c>
      <c r="T9" s="43" t="str">
        <f t="shared" si="3"/>
        <v/>
      </c>
      <c r="U9" s="43" t="str">
        <f t="shared" si="4"/>
        <v/>
      </c>
      <c r="V9" s="42" t="str">
        <f t="shared" si="5"/>
        <v/>
      </c>
      <c r="W9" s="42" t="str">
        <f t="shared" si="6"/>
        <v/>
      </c>
      <c r="X9" s="43" t="str">
        <f t="shared" si="7"/>
        <v/>
      </c>
      <c r="Y9" s="43" t="str">
        <f t="shared" si="8"/>
        <v/>
      </c>
      <c r="Z9" s="40" t="str">
        <f t="shared" si="9"/>
        <v/>
      </c>
      <c r="AA9" s="43" t="str">
        <f t="shared" si="10"/>
        <v/>
      </c>
      <c r="AB9" s="3" t="str">
        <f t="shared" si="11"/>
        <v/>
      </c>
      <c r="AC9" s="43" t="str">
        <f>IF(LEN(A9)=0,"",IF(AB9="Strong",'CRITERIA BUILDER'!$C$14,IF(AB9="Adequate",'CRITERIA BUILDER'!$C$14*0.8,IF(AB9="Adequate with Caution",'CRITERIA BUILDER'!$C$14*0.6,IF(AB9="Stretched",'CRITERIA BUILDER'!$C$14*0.3,0)))))</f>
        <v/>
      </c>
      <c r="AD9" s="9" t="str">
        <f t="shared" si="12"/>
        <v/>
      </c>
    </row>
    <row r="10" ht="15" customHeight="1" spans="1:30">
      <c r="A10" s="3" t="str">
        <f>IF(LEN('BIDDER REGISTER'!B10)=0,"",'BIDDER REGISTER'!B10)</f>
        <v/>
      </c>
      <c r="B10" s="35"/>
      <c r="C10" s="35"/>
      <c r="D10" s="39"/>
      <c r="E10" s="39"/>
      <c r="F10" s="39"/>
      <c r="G10" s="39"/>
      <c r="H10" s="39"/>
      <c r="I10" s="39"/>
      <c r="J10" s="39"/>
      <c r="K10" s="39"/>
      <c r="L10" s="39"/>
      <c r="M10" s="39"/>
      <c r="N10" s="39"/>
      <c r="O10" s="39"/>
      <c r="P10" s="39"/>
      <c r="Q10" s="42" t="str">
        <f t="shared" si="0"/>
        <v/>
      </c>
      <c r="R10" s="42" t="str">
        <f t="shared" si="1"/>
        <v/>
      </c>
      <c r="S10" s="43" t="str">
        <f t="shared" si="2"/>
        <v/>
      </c>
      <c r="T10" s="43" t="str">
        <f t="shared" si="3"/>
        <v/>
      </c>
      <c r="U10" s="43" t="str">
        <f t="shared" si="4"/>
        <v/>
      </c>
      <c r="V10" s="42" t="str">
        <f t="shared" si="5"/>
        <v/>
      </c>
      <c r="W10" s="42" t="str">
        <f t="shared" si="6"/>
        <v/>
      </c>
      <c r="X10" s="43" t="str">
        <f t="shared" si="7"/>
        <v/>
      </c>
      <c r="Y10" s="43" t="str">
        <f t="shared" si="8"/>
        <v/>
      </c>
      <c r="Z10" s="40" t="str">
        <f t="shared" si="9"/>
        <v/>
      </c>
      <c r="AA10" s="43" t="str">
        <f t="shared" si="10"/>
        <v/>
      </c>
      <c r="AB10" s="3" t="str">
        <f t="shared" si="11"/>
        <v/>
      </c>
      <c r="AC10" s="43" t="str">
        <f>IF(LEN(A10)=0,"",IF(AB10="Strong",'CRITERIA BUILDER'!$C$14,IF(AB10="Adequate",'CRITERIA BUILDER'!$C$14*0.8,IF(AB10="Adequate with Caution",'CRITERIA BUILDER'!$C$14*0.6,IF(AB10="Stretched",'CRITERIA BUILDER'!$C$14*0.3,0)))))</f>
        <v/>
      </c>
      <c r="AD10" s="9" t="str">
        <f t="shared" si="12"/>
        <v/>
      </c>
    </row>
    <row r="11" ht="15" customHeight="1" spans="1:30">
      <c r="A11" s="3" t="str">
        <f>IF(LEN('BIDDER REGISTER'!B11)=0,"",'BIDDER REGISTER'!B11)</f>
        <v/>
      </c>
      <c r="B11" s="35"/>
      <c r="C11" s="35"/>
      <c r="D11" s="39"/>
      <c r="E11" s="39"/>
      <c r="F11" s="39"/>
      <c r="G11" s="39"/>
      <c r="H11" s="39"/>
      <c r="I11" s="39"/>
      <c r="J11" s="39"/>
      <c r="K11" s="39"/>
      <c r="L11" s="39"/>
      <c r="M11" s="39"/>
      <c r="N11" s="39"/>
      <c r="O11" s="39"/>
      <c r="P11" s="39"/>
      <c r="Q11" s="42" t="str">
        <f t="shared" si="0"/>
        <v/>
      </c>
      <c r="R11" s="42" t="str">
        <f t="shared" si="1"/>
        <v/>
      </c>
      <c r="S11" s="43" t="str">
        <f t="shared" si="2"/>
        <v/>
      </c>
      <c r="T11" s="43" t="str">
        <f t="shared" si="3"/>
        <v/>
      </c>
      <c r="U11" s="43" t="str">
        <f t="shared" si="4"/>
        <v/>
      </c>
      <c r="V11" s="42" t="str">
        <f t="shared" si="5"/>
        <v/>
      </c>
      <c r="W11" s="42" t="str">
        <f t="shared" si="6"/>
        <v/>
      </c>
      <c r="X11" s="43" t="str">
        <f t="shared" si="7"/>
        <v/>
      </c>
      <c r="Y11" s="43" t="str">
        <f t="shared" si="8"/>
        <v/>
      </c>
      <c r="Z11" s="40" t="str">
        <f t="shared" si="9"/>
        <v/>
      </c>
      <c r="AA11" s="43" t="str">
        <f t="shared" si="10"/>
        <v/>
      </c>
      <c r="AB11" s="3" t="str">
        <f t="shared" si="11"/>
        <v/>
      </c>
      <c r="AC11" s="43" t="str">
        <f>IF(LEN(A11)=0,"",IF(AB11="Strong",'CRITERIA BUILDER'!$C$14,IF(AB11="Adequate",'CRITERIA BUILDER'!$C$14*0.8,IF(AB11="Adequate with Caution",'CRITERIA BUILDER'!$C$14*0.6,IF(AB11="Stretched",'CRITERIA BUILDER'!$C$14*0.3,0)))))</f>
        <v/>
      </c>
      <c r="AD11" s="9" t="str">
        <f t="shared" si="12"/>
        <v/>
      </c>
    </row>
    <row r="12" ht="15" customHeight="1" spans="1:30">
      <c r="A12" s="3" t="str">
        <f>IF(LEN('BIDDER REGISTER'!B12)=0,"",'BIDDER REGISTER'!B12)</f>
        <v/>
      </c>
      <c r="B12" s="35"/>
      <c r="C12" s="35"/>
      <c r="D12" s="39"/>
      <c r="E12" s="39"/>
      <c r="F12" s="39"/>
      <c r="G12" s="39"/>
      <c r="H12" s="39"/>
      <c r="I12" s="39"/>
      <c r="J12" s="39"/>
      <c r="K12" s="39"/>
      <c r="L12" s="39"/>
      <c r="M12" s="39"/>
      <c r="N12" s="39"/>
      <c r="O12" s="39"/>
      <c r="P12" s="39"/>
      <c r="Q12" s="42" t="str">
        <f t="shared" si="0"/>
        <v/>
      </c>
      <c r="R12" s="42" t="str">
        <f t="shared" si="1"/>
        <v/>
      </c>
      <c r="S12" s="43" t="str">
        <f t="shared" si="2"/>
        <v/>
      </c>
      <c r="T12" s="43" t="str">
        <f t="shared" si="3"/>
        <v/>
      </c>
      <c r="U12" s="43" t="str">
        <f t="shared" si="4"/>
        <v/>
      </c>
      <c r="V12" s="42" t="str">
        <f t="shared" si="5"/>
        <v/>
      </c>
      <c r="W12" s="42" t="str">
        <f t="shared" si="6"/>
        <v/>
      </c>
      <c r="X12" s="43" t="str">
        <f t="shared" si="7"/>
        <v/>
      </c>
      <c r="Y12" s="43" t="str">
        <f t="shared" si="8"/>
        <v/>
      </c>
      <c r="Z12" s="40" t="str">
        <f t="shared" si="9"/>
        <v/>
      </c>
      <c r="AA12" s="43" t="str">
        <f t="shared" si="10"/>
        <v/>
      </c>
      <c r="AB12" s="3" t="str">
        <f t="shared" si="11"/>
        <v/>
      </c>
      <c r="AC12" s="43" t="str">
        <f>IF(LEN(A12)=0,"",IF(AB12="Strong",'CRITERIA BUILDER'!$C$14,IF(AB12="Adequate",'CRITERIA BUILDER'!$C$14*0.8,IF(AB12="Adequate with Caution",'CRITERIA BUILDER'!$C$14*0.6,IF(AB12="Stretched",'CRITERIA BUILDER'!$C$14*0.3,0)))))</f>
        <v/>
      </c>
      <c r="AD12" s="9" t="str">
        <f t="shared" si="12"/>
        <v/>
      </c>
    </row>
    <row r="13" ht="15" customHeight="1" spans="1:30">
      <c r="A13" s="3" t="str">
        <f>IF(LEN('BIDDER REGISTER'!B13)=0,"",'BIDDER REGISTER'!B13)</f>
        <v/>
      </c>
      <c r="B13" s="35"/>
      <c r="C13" s="35"/>
      <c r="D13" s="39"/>
      <c r="E13" s="39"/>
      <c r="F13" s="39"/>
      <c r="G13" s="39"/>
      <c r="H13" s="39"/>
      <c r="I13" s="39"/>
      <c r="J13" s="39"/>
      <c r="K13" s="39"/>
      <c r="L13" s="39"/>
      <c r="M13" s="39"/>
      <c r="N13" s="39"/>
      <c r="O13" s="39"/>
      <c r="P13" s="39"/>
      <c r="Q13" s="42" t="str">
        <f t="shared" si="0"/>
        <v/>
      </c>
      <c r="R13" s="42" t="str">
        <f t="shared" si="1"/>
        <v/>
      </c>
      <c r="S13" s="43" t="str">
        <f t="shared" si="2"/>
        <v/>
      </c>
      <c r="T13" s="43" t="str">
        <f t="shared" si="3"/>
        <v/>
      </c>
      <c r="U13" s="43" t="str">
        <f t="shared" si="4"/>
        <v/>
      </c>
      <c r="V13" s="42" t="str">
        <f t="shared" si="5"/>
        <v/>
      </c>
      <c r="W13" s="42" t="str">
        <f t="shared" si="6"/>
        <v/>
      </c>
      <c r="X13" s="43" t="str">
        <f t="shared" si="7"/>
        <v/>
      </c>
      <c r="Y13" s="43" t="str">
        <f t="shared" si="8"/>
        <v/>
      </c>
      <c r="Z13" s="40" t="str">
        <f t="shared" si="9"/>
        <v/>
      </c>
      <c r="AA13" s="43" t="str">
        <f t="shared" si="10"/>
        <v/>
      </c>
      <c r="AB13" s="3" t="str">
        <f t="shared" si="11"/>
        <v/>
      </c>
      <c r="AC13" s="43" t="str">
        <f>IF(LEN(A13)=0,"",IF(AB13="Strong",'CRITERIA BUILDER'!$C$14,IF(AB13="Adequate",'CRITERIA BUILDER'!$C$14*0.8,IF(AB13="Adequate with Caution",'CRITERIA BUILDER'!$C$14*0.6,IF(AB13="Stretched",'CRITERIA BUILDER'!$C$14*0.3,0)))))</f>
        <v/>
      </c>
      <c r="AD13" s="9" t="str">
        <f t="shared" si="12"/>
        <v/>
      </c>
    </row>
    <row r="14" ht="15" customHeight="1" spans="1:30">
      <c r="A14" s="3" t="str">
        <f>IF(LEN('BIDDER REGISTER'!B14)=0,"",'BIDDER REGISTER'!B14)</f>
        <v/>
      </c>
      <c r="B14" s="35"/>
      <c r="C14" s="35"/>
      <c r="D14" s="39"/>
      <c r="E14" s="39"/>
      <c r="F14" s="39"/>
      <c r="G14" s="39"/>
      <c r="H14" s="39"/>
      <c r="I14" s="39"/>
      <c r="J14" s="39"/>
      <c r="K14" s="39"/>
      <c r="L14" s="39"/>
      <c r="M14" s="39"/>
      <c r="N14" s="39"/>
      <c r="O14" s="39"/>
      <c r="P14" s="39"/>
      <c r="Q14" s="42" t="str">
        <f t="shared" si="0"/>
        <v/>
      </c>
      <c r="R14" s="42" t="str">
        <f t="shared" si="1"/>
        <v/>
      </c>
      <c r="S14" s="43" t="str">
        <f t="shared" si="2"/>
        <v/>
      </c>
      <c r="T14" s="43" t="str">
        <f t="shared" si="3"/>
        <v/>
      </c>
      <c r="U14" s="43" t="str">
        <f t="shared" si="4"/>
        <v/>
      </c>
      <c r="V14" s="42" t="str">
        <f t="shared" si="5"/>
        <v/>
      </c>
      <c r="W14" s="42" t="str">
        <f t="shared" si="6"/>
        <v/>
      </c>
      <c r="X14" s="43" t="str">
        <f t="shared" si="7"/>
        <v/>
      </c>
      <c r="Y14" s="43" t="str">
        <f t="shared" si="8"/>
        <v/>
      </c>
      <c r="Z14" s="40" t="str">
        <f t="shared" si="9"/>
        <v/>
      </c>
      <c r="AA14" s="43" t="str">
        <f t="shared" si="10"/>
        <v/>
      </c>
      <c r="AB14" s="3" t="str">
        <f t="shared" si="11"/>
        <v/>
      </c>
      <c r="AC14" s="43" t="str">
        <f>IF(LEN(A14)=0,"",IF(AB14="Strong",'CRITERIA BUILDER'!$C$14,IF(AB14="Adequate",'CRITERIA BUILDER'!$C$14*0.8,IF(AB14="Adequate with Caution",'CRITERIA BUILDER'!$C$14*0.6,IF(AB14="Stretched",'CRITERIA BUILDER'!$C$14*0.3,0)))))</f>
        <v/>
      </c>
      <c r="AD14" s="9" t="str">
        <f t="shared" si="12"/>
        <v/>
      </c>
    </row>
    <row r="15" ht="15" customHeight="1" spans="1:30">
      <c r="A15" s="3" t="str">
        <f>IF(LEN('BIDDER REGISTER'!B15)=0,"",'BIDDER REGISTER'!B15)</f>
        <v/>
      </c>
      <c r="B15" s="35"/>
      <c r="C15" s="35"/>
      <c r="D15" s="39"/>
      <c r="E15" s="39"/>
      <c r="F15" s="39"/>
      <c r="G15" s="39"/>
      <c r="H15" s="39"/>
      <c r="I15" s="39"/>
      <c r="J15" s="39"/>
      <c r="K15" s="39"/>
      <c r="L15" s="39"/>
      <c r="M15" s="39"/>
      <c r="N15" s="39"/>
      <c r="O15" s="39"/>
      <c r="P15" s="39"/>
      <c r="Q15" s="42" t="str">
        <f t="shared" si="0"/>
        <v/>
      </c>
      <c r="R15" s="42" t="str">
        <f t="shared" si="1"/>
        <v/>
      </c>
      <c r="S15" s="43" t="str">
        <f t="shared" si="2"/>
        <v/>
      </c>
      <c r="T15" s="43" t="str">
        <f t="shared" si="3"/>
        <v/>
      </c>
      <c r="U15" s="43" t="str">
        <f t="shared" si="4"/>
        <v/>
      </c>
      <c r="V15" s="42" t="str">
        <f t="shared" si="5"/>
        <v/>
      </c>
      <c r="W15" s="42" t="str">
        <f t="shared" si="6"/>
        <v/>
      </c>
      <c r="X15" s="43" t="str">
        <f t="shared" si="7"/>
        <v/>
      </c>
      <c r="Y15" s="43" t="str">
        <f t="shared" si="8"/>
        <v/>
      </c>
      <c r="Z15" s="40" t="str">
        <f t="shared" si="9"/>
        <v/>
      </c>
      <c r="AA15" s="43" t="str">
        <f t="shared" si="10"/>
        <v/>
      </c>
      <c r="AB15" s="3" t="str">
        <f t="shared" si="11"/>
        <v/>
      </c>
      <c r="AC15" s="43" t="str">
        <f>IF(LEN(A15)=0,"",IF(AB15="Strong",'CRITERIA BUILDER'!$C$14,IF(AB15="Adequate",'CRITERIA BUILDER'!$C$14*0.8,IF(AB15="Adequate with Caution",'CRITERIA BUILDER'!$C$14*0.6,IF(AB15="Stretched",'CRITERIA BUILDER'!$C$14*0.3,0)))))</f>
        <v/>
      </c>
      <c r="AD15" s="9" t="str">
        <f t="shared" si="12"/>
        <v/>
      </c>
    </row>
    <row r="16" ht="15" customHeight="1" spans="1:30">
      <c r="A16" s="3" t="str">
        <f>IF(LEN('BIDDER REGISTER'!B16)=0,"",'BIDDER REGISTER'!B16)</f>
        <v/>
      </c>
      <c r="B16" s="35"/>
      <c r="C16" s="35"/>
      <c r="D16" s="39"/>
      <c r="E16" s="39"/>
      <c r="F16" s="39"/>
      <c r="G16" s="39"/>
      <c r="H16" s="39"/>
      <c r="I16" s="39"/>
      <c r="J16" s="39"/>
      <c r="K16" s="39"/>
      <c r="L16" s="39"/>
      <c r="M16" s="39"/>
      <c r="N16" s="39"/>
      <c r="O16" s="39"/>
      <c r="P16" s="39"/>
      <c r="Q16" s="42" t="str">
        <f t="shared" si="0"/>
        <v/>
      </c>
      <c r="R16" s="42" t="str">
        <f t="shared" si="1"/>
        <v/>
      </c>
      <c r="S16" s="43" t="str">
        <f t="shared" si="2"/>
        <v/>
      </c>
      <c r="T16" s="43" t="str">
        <f t="shared" si="3"/>
        <v/>
      </c>
      <c r="U16" s="43" t="str">
        <f t="shared" si="4"/>
        <v/>
      </c>
      <c r="V16" s="42" t="str">
        <f t="shared" si="5"/>
        <v/>
      </c>
      <c r="W16" s="42" t="str">
        <f t="shared" si="6"/>
        <v/>
      </c>
      <c r="X16" s="43" t="str">
        <f t="shared" si="7"/>
        <v/>
      </c>
      <c r="Y16" s="43" t="str">
        <f t="shared" si="8"/>
        <v/>
      </c>
      <c r="Z16" s="40" t="str">
        <f t="shared" si="9"/>
        <v/>
      </c>
      <c r="AA16" s="43" t="str">
        <f t="shared" si="10"/>
        <v/>
      </c>
      <c r="AB16" s="3" t="str">
        <f t="shared" si="11"/>
        <v/>
      </c>
      <c r="AC16" s="43" t="str">
        <f>IF(LEN(A16)=0,"",IF(AB16="Strong",'CRITERIA BUILDER'!$C$14,IF(AB16="Adequate",'CRITERIA BUILDER'!$C$14*0.8,IF(AB16="Adequate with Caution",'CRITERIA BUILDER'!$C$14*0.6,IF(AB16="Stretched",'CRITERIA BUILDER'!$C$14*0.3,0)))))</f>
        <v/>
      </c>
      <c r="AD16" s="9" t="str">
        <f t="shared" si="12"/>
        <v/>
      </c>
    </row>
    <row r="17" ht="15" customHeight="1" spans="1:30">
      <c r="A17" s="3" t="str">
        <f>IF(LEN('BIDDER REGISTER'!B17)=0,"",'BIDDER REGISTER'!B17)</f>
        <v/>
      </c>
      <c r="B17" s="35"/>
      <c r="C17" s="35"/>
      <c r="D17" s="39"/>
      <c r="E17" s="39"/>
      <c r="F17" s="39"/>
      <c r="G17" s="39"/>
      <c r="H17" s="39"/>
      <c r="I17" s="39"/>
      <c r="J17" s="39"/>
      <c r="K17" s="39"/>
      <c r="L17" s="39"/>
      <c r="M17" s="39"/>
      <c r="N17" s="39"/>
      <c r="O17" s="39"/>
      <c r="P17" s="39"/>
      <c r="Q17" s="42" t="str">
        <f t="shared" si="0"/>
        <v/>
      </c>
      <c r="R17" s="42" t="str">
        <f t="shared" si="1"/>
        <v/>
      </c>
      <c r="S17" s="43" t="str">
        <f t="shared" si="2"/>
        <v/>
      </c>
      <c r="T17" s="43" t="str">
        <f t="shared" si="3"/>
        <v/>
      </c>
      <c r="U17" s="43" t="str">
        <f t="shared" si="4"/>
        <v/>
      </c>
      <c r="V17" s="42" t="str">
        <f t="shared" si="5"/>
        <v/>
      </c>
      <c r="W17" s="42" t="str">
        <f t="shared" si="6"/>
        <v/>
      </c>
      <c r="X17" s="43" t="str">
        <f t="shared" si="7"/>
        <v/>
      </c>
      <c r="Y17" s="43" t="str">
        <f t="shared" si="8"/>
        <v/>
      </c>
      <c r="Z17" s="40" t="str">
        <f t="shared" si="9"/>
        <v/>
      </c>
      <c r="AA17" s="43" t="str">
        <f t="shared" si="10"/>
        <v/>
      </c>
      <c r="AB17" s="3" t="str">
        <f t="shared" si="11"/>
        <v/>
      </c>
      <c r="AC17" s="43" t="str">
        <f>IF(LEN(A17)=0,"",IF(AB17="Strong",'CRITERIA BUILDER'!$C$14,IF(AB17="Adequate",'CRITERIA BUILDER'!$C$14*0.8,IF(AB17="Adequate with Caution",'CRITERIA BUILDER'!$C$14*0.6,IF(AB17="Stretched",'CRITERIA BUILDER'!$C$14*0.3,0)))))</f>
        <v/>
      </c>
      <c r="AD17" s="9" t="str">
        <f t="shared" si="12"/>
        <v/>
      </c>
    </row>
    <row r="18" ht="15" customHeight="1" spans="1:30">
      <c r="A18" s="3" t="str">
        <f>IF(LEN('BIDDER REGISTER'!B18)=0,"",'BIDDER REGISTER'!B18)</f>
        <v/>
      </c>
      <c r="B18" s="35"/>
      <c r="C18" s="35"/>
      <c r="D18" s="39"/>
      <c r="E18" s="39"/>
      <c r="F18" s="39"/>
      <c r="G18" s="39"/>
      <c r="H18" s="39"/>
      <c r="I18" s="39"/>
      <c r="J18" s="39"/>
      <c r="K18" s="39"/>
      <c r="L18" s="39"/>
      <c r="M18" s="39"/>
      <c r="N18" s="39"/>
      <c r="O18" s="39"/>
      <c r="P18" s="39"/>
      <c r="Q18" s="42" t="str">
        <f t="shared" si="0"/>
        <v/>
      </c>
      <c r="R18" s="42" t="str">
        <f t="shared" si="1"/>
        <v/>
      </c>
      <c r="S18" s="43" t="str">
        <f t="shared" si="2"/>
        <v/>
      </c>
      <c r="T18" s="43" t="str">
        <f t="shared" si="3"/>
        <v/>
      </c>
      <c r="U18" s="43" t="str">
        <f t="shared" si="4"/>
        <v/>
      </c>
      <c r="V18" s="42" t="str">
        <f t="shared" si="5"/>
        <v/>
      </c>
      <c r="W18" s="42" t="str">
        <f t="shared" si="6"/>
        <v/>
      </c>
      <c r="X18" s="43" t="str">
        <f t="shared" si="7"/>
        <v/>
      </c>
      <c r="Y18" s="43" t="str">
        <f t="shared" si="8"/>
        <v/>
      </c>
      <c r="Z18" s="40" t="str">
        <f t="shared" si="9"/>
        <v/>
      </c>
      <c r="AA18" s="43" t="str">
        <f t="shared" si="10"/>
        <v/>
      </c>
      <c r="AB18" s="3" t="str">
        <f t="shared" si="11"/>
        <v/>
      </c>
      <c r="AC18" s="43" t="str">
        <f>IF(LEN(A18)=0,"",IF(AB18="Strong",'CRITERIA BUILDER'!$C$14,IF(AB18="Adequate",'CRITERIA BUILDER'!$C$14*0.8,IF(AB18="Adequate with Caution",'CRITERIA BUILDER'!$C$14*0.6,IF(AB18="Stretched",'CRITERIA BUILDER'!$C$14*0.3,0)))))</f>
        <v/>
      </c>
      <c r="AD18" s="9" t="str">
        <f t="shared" si="12"/>
        <v/>
      </c>
    </row>
    <row r="19" ht="15" customHeight="1" spans="1:30">
      <c r="A19" s="3" t="str">
        <f>IF(LEN('BIDDER REGISTER'!B19)=0,"",'BIDDER REGISTER'!B19)</f>
        <v/>
      </c>
      <c r="B19" s="35"/>
      <c r="C19" s="35"/>
      <c r="D19" s="39"/>
      <c r="E19" s="39"/>
      <c r="F19" s="39"/>
      <c r="G19" s="39"/>
      <c r="H19" s="39"/>
      <c r="I19" s="39"/>
      <c r="J19" s="39"/>
      <c r="K19" s="39"/>
      <c r="L19" s="39"/>
      <c r="M19" s="39"/>
      <c r="N19" s="39"/>
      <c r="O19" s="39"/>
      <c r="P19" s="39"/>
      <c r="Q19" s="42" t="str">
        <f t="shared" si="0"/>
        <v/>
      </c>
      <c r="R19" s="42" t="str">
        <f t="shared" si="1"/>
        <v/>
      </c>
      <c r="S19" s="43" t="str">
        <f t="shared" si="2"/>
        <v/>
      </c>
      <c r="T19" s="43" t="str">
        <f t="shared" si="3"/>
        <v/>
      </c>
      <c r="U19" s="43" t="str">
        <f t="shared" si="4"/>
        <v/>
      </c>
      <c r="V19" s="42" t="str">
        <f t="shared" si="5"/>
        <v/>
      </c>
      <c r="W19" s="42" t="str">
        <f t="shared" si="6"/>
        <v/>
      </c>
      <c r="X19" s="43" t="str">
        <f t="shared" si="7"/>
        <v/>
      </c>
      <c r="Y19" s="43" t="str">
        <f t="shared" si="8"/>
        <v/>
      </c>
      <c r="Z19" s="40" t="str">
        <f t="shared" si="9"/>
        <v/>
      </c>
      <c r="AA19" s="43" t="str">
        <f t="shared" si="10"/>
        <v/>
      </c>
      <c r="AB19" s="3" t="str">
        <f t="shared" si="11"/>
        <v/>
      </c>
      <c r="AC19" s="43" t="str">
        <f>IF(LEN(A19)=0,"",IF(AB19="Strong",'CRITERIA BUILDER'!$C$14,IF(AB19="Adequate",'CRITERIA BUILDER'!$C$14*0.8,IF(AB19="Adequate with Caution",'CRITERIA BUILDER'!$C$14*0.6,IF(AB19="Stretched",'CRITERIA BUILDER'!$C$14*0.3,0)))))</f>
        <v/>
      </c>
      <c r="AD19" s="9" t="str">
        <f t="shared" si="12"/>
        <v/>
      </c>
    </row>
    <row r="20" ht="15" customHeight="1" spans="1:30">
      <c r="A20" s="3" t="str">
        <f>IF(LEN('BIDDER REGISTER'!B20)=0,"",'BIDDER REGISTER'!B20)</f>
        <v/>
      </c>
      <c r="B20" s="35"/>
      <c r="C20" s="35"/>
      <c r="D20" s="39"/>
      <c r="E20" s="39"/>
      <c r="F20" s="39"/>
      <c r="G20" s="39"/>
      <c r="H20" s="39"/>
      <c r="I20" s="39"/>
      <c r="J20" s="39"/>
      <c r="K20" s="39"/>
      <c r="L20" s="39"/>
      <c r="M20" s="39"/>
      <c r="N20" s="39"/>
      <c r="O20" s="39"/>
      <c r="P20" s="39"/>
      <c r="Q20" s="42" t="str">
        <f t="shared" si="0"/>
        <v/>
      </c>
      <c r="R20" s="42" t="str">
        <f t="shared" si="1"/>
        <v/>
      </c>
      <c r="S20" s="43" t="str">
        <f t="shared" si="2"/>
        <v/>
      </c>
      <c r="T20" s="43" t="str">
        <f t="shared" si="3"/>
        <v/>
      </c>
      <c r="U20" s="43" t="str">
        <f t="shared" si="4"/>
        <v/>
      </c>
      <c r="V20" s="42" t="str">
        <f t="shared" si="5"/>
        <v/>
      </c>
      <c r="W20" s="42" t="str">
        <f t="shared" si="6"/>
        <v/>
      </c>
      <c r="X20" s="43" t="str">
        <f t="shared" si="7"/>
        <v/>
      </c>
      <c r="Y20" s="43" t="str">
        <f t="shared" si="8"/>
        <v/>
      </c>
      <c r="Z20" s="40" t="str">
        <f t="shared" si="9"/>
        <v/>
      </c>
      <c r="AA20" s="43" t="str">
        <f t="shared" si="10"/>
        <v/>
      </c>
      <c r="AB20" s="3" t="str">
        <f t="shared" si="11"/>
        <v/>
      </c>
      <c r="AC20" s="43" t="str">
        <f>IF(LEN(A20)=0,"",IF(AB20="Strong",'CRITERIA BUILDER'!$C$14,IF(AB20="Adequate",'CRITERIA BUILDER'!$C$14*0.8,IF(AB20="Adequate with Caution",'CRITERIA BUILDER'!$C$14*0.6,IF(AB20="Stretched",'CRITERIA BUILDER'!$C$14*0.3,0)))))</f>
        <v/>
      </c>
      <c r="AD20" s="9" t="str">
        <f t="shared" si="12"/>
        <v/>
      </c>
    </row>
    <row r="21" ht="15" customHeight="1" spans="1:30">
      <c r="A21" s="3" t="str">
        <f>IF(LEN('BIDDER REGISTER'!B21)=0,"",'BIDDER REGISTER'!B21)</f>
        <v/>
      </c>
      <c r="B21" s="35"/>
      <c r="C21" s="35"/>
      <c r="D21" s="39"/>
      <c r="E21" s="39"/>
      <c r="F21" s="39"/>
      <c r="G21" s="39"/>
      <c r="H21" s="39"/>
      <c r="I21" s="39"/>
      <c r="J21" s="39"/>
      <c r="K21" s="39"/>
      <c r="L21" s="39"/>
      <c r="M21" s="39"/>
      <c r="N21" s="39"/>
      <c r="O21" s="39"/>
      <c r="P21" s="39"/>
      <c r="Q21" s="42" t="str">
        <f t="shared" si="0"/>
        <v/>
      </c>
      <c r="R21" s="42" t="str">
        <f t="shared" si="1"/>
        <v/>
      </c>
      <c r="S21" s="43" t="str">
        <f t="shared" si="2"/>
        <v/>
      </c>
      <c r="T21" s="43" t="str">
        <f t="shared" si="3"/>
        <v/>
      </c>
      <c r="U21" s="43" t="str">
        <f t="shared" si="4"/>
        <v/>
      </c>
      <c r="V21" s="42" t="str">
        <f t="shared" si="5"/>
        <v/>
      </c>
      <c r="W21" s="42" t="str">
        <f t="shared" si="6"/>
        <v/>
      </c>
      <c r="X21" s="43" t="str">
        <f t="shared" si="7"/>
        <v/>
      </c>
      <c r="Y21" s="43" t="str">
        <f t="shared" si="8"/>
        <v/>
      </c>
      <c r="Z21" s="40" t="str">
        <f t="shared" si="9"/>
        <v/>
      </c>
      <c r="AA21" s="43" t="str">
        <f t="shared" si="10"/>
        <v/>
      </c>
      <c r="AB21" s="3" t="str">
        <f t="shared" si="11"/>
        <v/>
      </c>
      <c r="AC21" s="43" t="str">
        <f>IF(LEN(A21)=0,"",IF(AB21="Strong",'CRITERIA BUILDER'!$C$14,IF(AB21="Adequate",'CRITERIA BUILDER'!$C$14*0.8,IF(AB21="Adequate with Caution",'CRITERIA BUILDER'!$C$14*0.6,IF(AB21="Stretched",'CRITERIA BUILDER'!$C$14*0.3,0)))))</f>
        <v/>
      </c>
      <c r="AD21" s="9" t="str">
        <f t="shared" si="12"/>
        <v/>
      </c>
    </row>
    <row r="22" ht="15" customHeight="1" spans="1:30">
      <c r="A22" s="3" t="str">
        <f>IF(LEN('BIDDER REGISTER'!B22)=0,"",'BIDDER REGISTER'!B22)</f>
        <v/>
      </c>
      <c r="B22" s="35"/>
      <c r="C22" s="35"/>
      <c r="D22" s="39"/>
      <c r="E22" s="39"/>
      <c r="F22" s="39"/>
      <c r="G22" s="39"/>
      <c r="H22" s="39"/>
      <c r="I22" s="39"/>
      <c r="J22" s="39"/>
      <c r="K22" s="39"/>
      <c r="L22" s="39"/>
      <c r="M22" s="39"/>
      <c r="N22" s="39"/>
      <c r="O22" s="39"/>
      <c r="P22" s="39"/>
      <c r="Q22" s="42" t="str">
        <f t="shared" si="0"/>
        <v/>
      </c>
      <c r="R22" s="42" t="str">
        <f t="shared" si="1"/>
        <v/>
      </c>
      <c r="S22" s="43" t="str">
        <f t="shared" si="2"/>
        <v/>
      </c>
      <c r="T22" s="43" t="str">
        <f t="shared" si="3"/>
        <v/>
      </c>
      <c r="U22" s="43" t="str">
        <f t="shared" si="4"/>
        <v/>
      </c>
      <c r="V22" s="42" t="str">
        <f t="shared" si="5"/>
        <v/>
      </c>
      <c r="W22" s="42" t="str">
        <f t="shared" si="6"/>
        <v/>
      </c>
      <c r="X22" s="43" t="str">
        <f t="shared" si="7"/>
        <v/>
      </c>
      <c r="Y22" s="43" t="str">
        <f t="shared" si="8"/>
        <v/>
      </c>
      <c r="Z22" s="40" t="str">
        <f t="shared" si="9"/>
        <v/>
      </c>
      <c r="AA22" s="43" t="str">
        <f t="shared" si="10"/>
        <v/>
      </c>
      <c r="AB22" s="3" t="str">
        <f t="shared" si="11"/>
        <v/>
      </c>
      <c r="AC22" s="43" t="str">
        <f>IF(LEN(A22)=0,"",IF(AB22="Strong",'CRITERIA BUILDER'!$C$14,IF(AB22="Adequate",'CRITERIA BUILDER'!$C$14*0.8,IF(AB22="Adequate with Caution",'CRITERIA BUILDER'!$C$14*0.6,IF(AB22="Stretched",'CRITERIA BUILDER'!$C$14*0.3,0)))))</f>
        <v/>
      </c>
      <c r="AD22" s="9" t="str">
        <f t="shared" si="12"/>
        <v/>
      </c>
    </row>
    <row r="23" ht="15" customHeight="1" spans="1:30">
      <c r="A23" s="3" t="str">
        <f>IF(LEN('BIDDER REGISTER'!B23)=0,"",'BIDDER REGISTER'!B23)</f>
        <v/>
      </c>
      <c r="B23" s="35"/>
      <c r="C23" s="35"/>
      <c r="D23" s="39"/>
      <c r="E23" s="39"/>
      <c r="F23" s="39"/>
      <c r="G23" s="39"/>
      <c r="H23" s="39"/>
      <c r="I23" s="39"/>
      <c r="J23" s="39"/>
      <c r="K23" s="39"/>
      <c r="L23" s="39"/>
      <c r="M23" s="39"/>
      <c r="N23" s="39"/>
      <c r="O23" s="39"/>
      <c r="P23" s="39"/>
      <c r="Q23" s="42" t="str">
        <f t="shared" si="0"/>
        <v/>
      </c>
      <c r="R23" s="42" t="str">
        <f t="shared" si="1"/>
        <v/>
      </c>
      <c r="S23" s="43" t="str">
        <f t="shared" si="2"/>
        <v/>
      </c>
      <c r="T23" s="43" t="str">
        <f t="shared" si="3"/>
        <v/>
      </c>
      <c r="U23" s="43" t="str">
        <f t="shared" si="4"/>
        <v/>
      </c>
      <c r="V23" s="42" t="str">
        <f t="shared" si="5"/>
        <v/>
      </c>
      <c r="W23" s="42" t="str">
        <f t="shared" si="6"/>
        <v/>
      </c>
      <c r="X23" s="43" t="str">
        <f t="shared" si="7"/>
        <v/>
      </c>
      <c r="Y23" s="43" t="str">
        <f t="shared" si="8"/>
        <v/>
      </c>
      <c r="Z23" s="40" t="str">
        <f t="shared" si="9"/>
        <v/>
      </c>
      <c r="AA23" s="43" t="str">
        <f t="shared" si="10"/>
        <v/>
      </c>
      <c r="AB23" s="3" t="str">
        <f t="shared" si="11"/>
        <v/>
      </c>
      <c r="AC23" s="43" t="str">
        <f>IF(LEN(A23)=0,"",IF(AB23="Strong",'CRITERIA BUILDER'!$C$14,IF(AB23="Adequate",'CRITERIA BUILDER'!$C$14*0.8,IF(AB23="Adequate with Caution",'CRITERIA BUILDER'!$C$14*0.6,IF(AB23="Stretched",'CRITERIA BUILDER'!$C$14*0.3,0)))))</f>
        <v/>
      </c>
      <c r="AD23" s="9" t="str">
        <f t="shared" si="12"/>
        <v/>
      </c>
    </row>
    <row r="24" ht="15" customHeight="1" spans="1:30">
      <c r="A24" s="3" t="str">
        <f>IF(LEN('BIDDER REGISTER'!B24)=0,"",'BIDDER REGISTER'!B24)</f>
        <v/>
      </c>
      <c r="B24" s="35"/>
      <c r="C24" s="35"/>
      <c r="D24" s="39"/>
      <c r="E24" s="39"/>
      <c r="F24" s="39"/>
      <c r="G24" s="39"/>
      <c r="H24" s="39"/>
      <c r="I24" s="39"/>
      <c r="J24" s="39"/>
      <c r="K24" s="39"/>
      <c r="L24" s="39"/>
      <c r="M24" s="39"/>
      <c r="N24" s="39"/>
      <c r="O24" s="39"/>
      <c r="P24" s="39"/>
      <c r="Q24" s="42" t="str">
        <f t="shared" si="0"/>
        <v/>
      </c>
      <c r="R24" s="42" t="str">
        <f t="shared" si="1"/>
        <v/>
      </c>
      <c r="S24" s="43" t="str">
        <f t="shared" si="2"/>
        <v/>
      </c>
      <c r="T24" s="43" t="str">
        <f t="shared" si="3"/>
        <v/>
      </c>
      <c r="U24" s="43" t="str">
        <f t="shared" si="4"/>
        <v/>
      </c>
      <c r="V24" s="42" t="str">
        <f t="shared" si="5"/>
        <v/>
      </c>
      <c r="W24" s="42" t="str">
        <f t="shared" si="6"/>
        <v/>
      </c>
      <c r="X24" s="43" t="str">
        <f t="shared" si="7"/>
        <v/>
      </c>
      <c r="Y24" s="43" t="str">
        <f t="shared" si="8"/>
        <v/>
      </c>
      <c r="Z24" s="40" t="str">
        <f t="shared" si="9"/>
        <v/>
      </c>
      <c r="AA24" s="43" t="str">
        <f t="shared" si="10"/>
        <v/>
      </c>
      <c r="AB24" s="3" t="str">
        <f t="shared" si="11"/>
        <v/>
      </c>
      <c r="AC24" s="43" t="str">
        <f>IF(LEN(A24)=0,"",IF(AB24="Strong",'CRITERIA BUILDER'!$C$14,IF(AB24="Adequate",'CRITERIA BUILDER'!$C$14*0.8,IF(AB24="Adequate with Caution",'CRITERIA BUILDER'!$C$14*0.6,IF(AB24="Stretched",'CRITERIA BUILDER'!$C$14*0.3,0)))))</f>
        <v/>
      </c>
      <c r="AD24" s="9" t="str">
        <f t="shared" si="12"/>
        <v/>
      </c>
    </row>
    <row r="25" ht="15" customHeight="1" spans="1:30">
      <c r="A25" s="3" t="str">
        <f>IF(LEN('BIDDER REGISTER'!B25)=0,"",'BIDDER REGISTER'!B25)</f>
        <v/>
      </c>
      <c r="B25" s="35"/>
      <c r="C25" s="35"/>
      <c r="D25" s="39"/>
      <c r="E25" s="39"/>
      <c r="F25" s="39"/>
      <c r="G25" s="39"/>
      <c r="H25" s="39"/>
      <c r="I25" s="39"/>
      <c r="J25" s="39"/>
      <c r="K25" s="39"/>
      <c r="L25" s="39"/>
      <c r="M25" s="39"/>
      <c r="N25" s="39"/>
      <c r="O25" s="39"/>
      <c r="P25" s="39"/>
      <c r="Q25" s="42" t="str">
        <f t="shared" si="0"/>
        <v/>
      </c>
      <c r="R25" s="42" t="str">
        <f t="shared" si="1"/>
        <v/>
      </c>
      <c r="S25" s="43" t="str">
        <f t="shared" si="2"/>
        <v/>
      </c>
      <c r="T25" s="43" t="str">
        <f t="shared" si="3"/>
        <v/>
      </c>
      <c r="U25" s="43" t="str">
        <f t="shared" si="4"/>
        <v/>
      </c>
      <c r="V25" s="42" t="str">
        <f t="shared" si="5"/>
        <v/>
      </c>
      <c r="W25" s="42" t="str">
        <f t="shared" si="6"/>
        <v/>
      </c>
      <c r="X25" s="43" t="str">
        <f t="shared" si="7"/>
        <v/>
      </c>
      <c r="Y25" s="43" t="str">
        <f t="shared" si="8"/>
        <v/>
      </c>
      <c r="Z25" s="40" t="str">
        <f t="shared" si="9"/>
        <v/>
      </c>
      <c r="AA25" s="43" t="str">
        <f t="shared" si="10"/>
        <v/>
      </c>
      <c r="AB25" s="3" t="str">
        <f t="shared" si="11"/>
        <v/>
      </c>
      <c r="AC25" s="43" t="str">
        <f>IF(LEN(A25)=0,"",IF(AB25="Strong",'CRITERIA BUILDER'!$C$14,IF(AB25="Adequate",'CRITERIA BUILDER'!$C$14*0.8,IF(AB25="Adequate with Caution",'CRITERIA BUILDER'!$C$14*0.6,IF(AB25="Stretched",'CRITERIA BUILDER'!$C$14*0.3,0)))))</f>
        <v/>
      </c>
      <c r="AD25" s="9" t="str">
        <f t="shared" si="12"/>
        <v/>
      </c>
    </row>
    <row r="26" ht="15" customHeight="1" spans="1:30">
      <c r="A26" s="3" t="str">
        <f>IF(LEN('BIDDER REGISTER'!B26)=0,"",'BIDDER REGISTER'!B26)</f>
        <v/>
      </c>
      <c r="B26" s="35"/>
      <c r="C26" s="35"/>
      <c r="D26" s="39"/>
      <c r="E26" s="39"/>
      <c r="F26" s="39"/>
      <c r="G26" s="39"/>
      <c r="H26" s="39"/>
      <c r="I26" s="39"/>
      <c r="J26" s="39"/>
      <c r="K26" s="39"/>
      <c r="L26" s="39"/>
      <c r="M26" s="39"/>
      <c r="N26" s="39"/>
      <c r="O26" s="39"/>
      <c r="P26" s="39"/>
      <c r="Q26" s="42" t="str">
        <f t="shared" si="0"/>
        <v/>
      </c>
      <c r="R26" s="42" t="str">
        <f t="shared" si="1"/>
        <v/>
      </c>
      <c r="S26" s="43" t="str">
        <f t="shared" si="2"/>
        <v/>
      </c>
      <c r="T26" s="43" t="str">
        <f t="shared" si="3"/>
        <v/>
      </c>
      <c r="U26" s="43" t="str">
        <f t="shared" si="4"/>
        <v/>
      </c>
      <c r="V26" s="42" t="str">
        <f t="shared" si="5"/>
        <v/>
      </c>
      <c r="W26" s="42" t="str">
        <f t="shared" si="6"/>
        <v/>
      </c>
      <c r="X26" s="43" t="str">
        <f t="shared" si="7"/>
        <v/>
      </c>
      <c r="Y26" s="43" t="str">
        <f t="shared" si="8"/>
        <v/>
      </c>
      <c r="Z26" s="40" t="str">
        <f t="shared" si="9"/>
        <v/>
      </c>
      <c r="AA26" s="43" t="str">
        <f t="shared" si="10"/>
        <v/>
      </c>
      <c r="AB26" s="3" t="str">
        <f t="shared" si="11"/>
        <v/>
      </c>
      <c r="AC26" s="43" t="str">
        <f>IF(LEN(A26)=0,"",IF(AB26="Strong",'CRITERIA BUILDER'!$C$14,IF(AB26="Adequate",'CRITERIA BUILDER'!$C$14*0.8,IF(AB26="Adequate with Caution",'CRITERIA BUILDER'!$C$14*0.6,IF(AB26="Stretched",'CRITERIA BUILDER'!$C$14*0.3,0)))))</f>
        <v/>
      </c>
      <c r="AD26" s="9" t="str">
        <f t="shared" si="12"/>
        <v/>
      </c>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conditionalFormatting sqref="AB7:AB26">
    <cfRule type="expression" dxfId="0" priority="2">
      <formula>AB7="Strong"</formula>
    </cfRule>
    <cfRule type="expression" dxfId="7" priority="3">
      <formula>AB7="Adequate"</formula>
    </cfRule>
    <cfRule type="expression" dxfId="2" priority="4">
      <formula>AB7="Adequate with Caution"</formula>
    </cfRule>
    <cfRule type="expression" dxfId="1" priority="5">
      <formula>OR(AB7="Stretched",AB7="High Risk")</formula>
    </cfRule>
    <cfRule type="cellIs" dxfId="3" priority="6" operator="equal">
      <formula>"Strong"</formula>
    </cfRule>
    <cfRule type="cellIs" dxfId="8" priority="7" operator="equal">
      <formula>"Adequate"</formula>
    </cfRule>
    <cfRule type="cellIs" dxfId="5" priority="8" operator="equal">
      <formula>"Adequate with Caution"</formula>
    </cfRule>
    <cfRule type="cellIs" dxfId="9" priority="9" operator="equal">
      <formula>"Stretched"</formula>
    </cfRule>
    <cfRule type="cellIs" dxfId="4" priority="10" operator="equal">
      <formula>"High Risk"</formula>
    </cfRule>
    <cfRule type="cellIs" dxfId="6" priority="11" operator="equal">
      <formula>"Incomplete"</formula>
    </cfRule>
    <cfRule type="cellIs" dxfId="6" priority="12" operator="equal">
      <formula>"No Data"</formula>
    </cfRule>
  </conditionalFormatting>
  <pageMargins left="0.7" right="0.7" top="0.75" bottom="0.75" header="0.511811023622047" footer="0.511811023622047"/>
  <pageSetup paperSize="9"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3" ySplit="6" topLeftCell="D7" activePane="bottomRight" state="frozen"/>
      <selection/>
      <selection pane="topRight"/>
      <selection pane="bottomLeft"/>
      <selection pane="bottomRight" activeCell="A1" sqref="A1:L1"/>
    </sheetView>
  </sheetViews>
  <sheetFormatPr defaultColWidth="8.68181818181818" defaultRowHeight="14.5"/>
  <cols>
    <col min="1" max="1" width="22" style="1" customWidth="1"/>
    <col min="2" max="2" width="14" style="1" customWidth="1"/>
    <col min="3" max="3" width="12" style="1" customWidth="1"/>
    <col min="4" max="4" width="16" style="1" customWidth="1"/>
    <col min="5" max="5" width="12" style="1" customWidth="1"/>
    <col min="6" max="6" width="16" style="1" customWidth="1"/>
    <col min="7" max="7" width="14" style="1" customWidth="1"/>
    <col min="8" max="8" width="12" style="1" customWidth="1"/>
    <col min="9" max="9" width="40" style="1" customWidth="1"/>
    <col min="10" max="10" width="14" style="1" customWidth="1"/>
  </cols>
  <sheetData>
    <row r="1" ht="30" customHeight="1" spans="1:30">
      <c r="A1" s="2" t="s">
        <v>214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215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23.25" customHeight="1" spans="1:30">
      <c r="A6" s="6" t="s">
        <v>163</v>
      </c>
      <c r="B6" s="6" t="s">
        <v>176</v>
      </c>
      <c r="C6" s="6" t="s">
        <v>216</v>
      </c>
      <c r="D6" s="6" t="s">
        <v>217</v>
      </c>
      <c r="E6" s="6" t="s">
        <v>218</v>
      </c>
      <c r="F6" s="6" t="s">
        <v>219</v>
      </c>
      <c r="G6" s="6" t="s">
        <v>220</v>
      </c>
      <c r="H6" s="6" t="s">
        <v>221</v>
      </c>
      <c r="I6" s="6" t="s">
        <v>222</v>
      </c>
      <c r="J6" s="6" t="s">
        <v>223</v>
      </c>
      <c r="K6" s="3"/>
      <c r="L6" s="3"/>
      <c r="M6" s="3"/>
      <c r="N6" s="3"/>
      <c r="O6" s="3"/>
      <c r="P6" s="3"/>
      <c r="Q6" s="3"/>
      <c r="R6" s="3"/>
      <c r="S6" s="3"/>
      <c r="T6" s="3"/>
      <c r="U6" s="3"/>
      <c r="V6" s="3"/>
      <c r="W6" s="3"/>
      <c r="X6" s="3"/>
      <c r="Y6" s="3"/>
      <c r="Z6" s="3"/>
      <c r="AA6" s="3"/>
      <c r="AB6" s="3"/>
      <c r="AC6" s="3"/>
      <c r="AD6" s="3"/>
    </row>
    <row r="7" ht="15" customHeight="1" spans="1:30">
      <c r="A7" s="3" t="str">
        <f>IF(LEN('BIDDER REGISTER'!B7)=0,"",'BIDDER REGISTER'!B7)</f>
        <v/>
      </c>
      <c r="B7" s="3" t="str">
        <f>IF(LEN(A7)=0,"",RESPONSIVENESS!J7)</f>
        <v/>
      </c>
      <c r="C7" s="3" t="str">
        <f>IF(LEN(A7)=0,"",'TECHNICAL SCORING'!J7)</f>
        <v/>
      </c>
      <c r="D7" s="39"/>
      <c r="E7" s="39"/>
      <c r="F7" s="40" t="str">
        <f t="shared" ref="F7:F26" si="0">IF(LEN(A7)=0,"",IFERROR(D7+E7,""))</f>
        <v/>
      </c>
      <c r="G7" s="3" t="str">
        <f t="shared" ref="G7:G26" si="1">IF(LEN(A7)=0,"",IF(AND(B7="Responsive",C7="Yes",F7&gt;0),"Yes","No"))</f>
        <v/>
      </c>
      <c r="H7" s="21" t="str">
        <f>IF(LEN(A7)=0,"",IF(G7&lt;&gt;"Yes",0,IFERROR(MIN($J$7:$J$26)/F7*'CRITERIA BUILDER'!$C$15,0)))</f>
        <v/>
      </c>
      <c r="I7" s="9" t="str">
        <f t="shared" ref="I7:I26" si="2">IF(LEN(A7)=0,"",IF(G7="Yes","Price scored against lowest evaluated responsive price.","Not eligible for price scoring at this stage."))</f>
        <v/>
      </c>
      <c r="J7" s="41" t="str">
        <f t="shared" ref="J7:J26" si="3">IF(G7="Yes",F7,"")</f>
        <v/>
      </c>
      <c r="K7" s="3"/>
      <c r="L7" s="3"/>
      <c r="M7" s="3"/>
      <c r="N7" s="3"/>
      <c r="O7" s="3"/>
      <c r="P7" s="3"/>
      <c r="Q7" s="3"/>
      <c r="R7" s="3"/>
      <c r="S7" s="3"/>
      <c r="T7" s="3"/>
      <c r="U7" s="3"/>
      <c r="V7" s="3"/>
      <c r="W7" s="3"/>
      <c r="X7" s="3"/>
      <c r="Y7" s="3"/>
      <c r="Z7" s="3"/>
      <c r="AA7" s="3"/>
      <c r="AB7" s="3"/>
      <c r="AC7" s="3"/>
      <c r="AD7" s="3"/>
    </row>
    <row r="8" ht="15" customHeight="1" spans="1:30">
      <c r="A8" s="3" t="str">
        <f>IF(LEN('BIDDER REGISTER'!B8)=0,"",'BIDDER REGISTER'!B8)</f>
        <v/>
      </c>
      <c r="B8" s="3" t="str">
        <f>IF(LEN(A8)=0,"",RESPONSIVENESS!J8)</f>
        <v/>
      </c>
      <c r="C8" s="3" t="str">
        <f>IF(LEN(A8)=0,"",'TECHNICAL SCORING'!J8)</f>
        <v/>
      </c>
      <c r="D8" s="39"/>
      <c r="E8" s="39"/>
      <c r="F8" s="40" t="str">
        <f t="shared" si="0"/>
        <v/>
      </c>
      <c r="G8" s="3" t="str">
        <f t="shared" si="1"/>
        <v/>
      </c>
      <c r="H8" s="21" t="str">
        <f>IF(LEN(A8)=0,"",IF(G8&lt;&gt;"Yes",0,IFERROR(MIN($J$7:$J$26)/F8*'CRITERIA BUILDER'!$C$15,0)))</f>
        <v/>
      </c>
      <c r="I8" s="9" t="str">
        <f t="shared" si="2"/>
        <v/>
      </c>
      <c r="J8" s="41" t="str">
        <f t="shared" si="3"/>
        <v/>
      </c>
      <c r="K8" s="3"/>
      <c r="L8" s="3"/>
      <c r="M8" s="3"/>
      <c r="N8" s="3"/>
      <c r="O8" s="3"/>
      <c r="P8" s="3"/>
      <c r="Q8" s="3"/>
      <c r="R8" s="3"/>
      <c r="S8" s="3"/>
      <c r="T8" s="3"/>
      <c r="U8" s="3"/>
      <c r="V8" s="3"/>
      <c r="W8" s="3"/>
      <c r="X8" s="3"/>
      <c r="Y8" s="3"/>
      <c r="Z8" s="3"/>
      <c r="AA8" s="3"/>
      <c r="AB8" s="3"/>
      <c r="AC8" s="3"/>
      <c r="AD8" s="3"/>
    </row>
    <row r="9" ht="15" customHeight="1" spans="1:30">
      <c r="A9" s="3" t="str">
        <f>IF(LEN('BIDDER REGISTER'!B9)=0,"",'BIDDER REGISTER'!B9)</f>
        <v/>
      </c>
      <c r="B9" s="3" t="str">
        <f>IF(LEN(A9)=0,"",RESPONSIVENESS!J9)</f>
        <v/>
      </c>
      <c r="C9" s="3" t="str">
        <f>IF(LEN(A9)=0,"",'TECHNICAL SCORING'!J9)</f>
        <v/>
      </c>
      <c r="D9" s="39"/>
      <c r="E9" s="39"/>
      <c r="F9" s="40" t="str">
        <f t="shared" si="0"/>
        <v/>
      </c>
      <c r="G9" s="3" t="str">
        <f t="shared" si="1"/>
        <v/>
      </c>
      <c r="H9" s="21" t="str">
        <f>IF(LEN(A9)=0,"",IF(G9&lt;&gt;"Yes",0,IFERROR(MIN($J$7:$J$26)/F9*'CRITERIA BUILDER'!$C$15,0)))</f>
        <v/>
      </c>
      <c r="I9" s="9" t="str">
        <f t="shared" si="2"/>
        <v/>
      </c>
      <c r="J9" s="41" t="str">
        <f t="shared" si="3"/>
        <v/>
      </c>
      <c r="K9" s="3"/>
      <c r="L9" s="3"/>
      <c r="M9" s="3"/>
      <c r="N9" s="3"/>
      <c r="O9" s="3"/>
      <c r="P9" s="3"/>
      <c r="Q9" s="3"/>
      <c r="R9" s="3"/>
      <c r="S9" s="3"/>
      <c r="T9" s="3"/>
      <c r="U9" s="3"/>
      <c r="V9" s="3"/>
      <c r="W9" s="3"/>
      <c r="X9" s="3"/>
      <c r="Y9" s="3"/>
      <c r="Z9" s="3"/>
      <c r="AA9" s="3"/>
      <c r="AB9" s="3"/>
      <c r="AC9" s="3"/>
      <c r="AD9" s="3"/>
    </row>
    <row r="10" ht="15" customHeight="1" spans="1:30">
      <c r="A10" s="3" t="str">
        <f>IF(LEN('BIDDER REGISTER'!B10)=0,"",'BIDDER REGISTER'!B10)</f>
        <v/>
      </c>
      <c r="B10" s="3" t="str">
        <f>IF(LEN(A10)=0,"",RESPONSIVENESS!J10)</f>
        <v/>
      </c>
      <c r="C10" s="3" t="str">
        <f>IF(LEN(A10)=0,"",'TECHNICAL SCORING'!J10)</f>
        <v/>
      </c>
      <c r="D10" s="39"/>
      <c r="E10" s="39"/>
      <c r="F10" s="40" t="str">
        <f t="shared" si="0"/>
        <v/>
      </c>
      <c r="G10" s="3" t="str">
        <f t="shared" si="1"/>
        <v/>
      </c>
      <c r="H10" s="21" t="str">
        <f>IF(LEN(A10)=0,"",IF(G10&lt;&gt;"Yes",0,IFERROR(MIN($J$7:$J$26)/F10*'CRITERIA BUILDER'!$C$15,0)))</f>
        <v/>
      </c>
      <c r="I10" s="9" t="str">
        <f t="shared" si="2"/>
        <v/>
      </c>
      <c r="J10" s="41" t="str">
        <f t="shared" si="3"/>
        <v/>
      </c>
      <c r="K10" s="3"/>
      <c r="L10" s="3"/>
      <c r="M10" s="3"/>
      <c r="N10" s="3"/>
      <c r="O10" s="3"/>
      <c r="P10" s="3"/>
      <c r="Q10" s="3"/>
      <c r="R10" s="3"/>
      <c r="S10" s="3"/>
      <c r="T10" s="3"/>
      <c r="U10" s="3"/>
      <c r="V10" s="3"/>
      <c r="W10" s="3"/>
      <c r="X10" s="3"/>
      <c r="Y10" s="3"/>
      <c r="Z10" s="3"/>
      <c r="AA10" s="3"/>
      <c r="AB10" s="3"/>
      <c r="AC10" s="3"/>
      <c r="AD10" s="3"/>
    </row>
    <row r="11" ht="15" customHeight="1" spans="1:30">
      <c r="A11" s="3" t="str">
        <f>IF(LEN('BIDDER REGISTER'!B11)=0,"",'BIDDER REGISTER'!B11)</f>
        <v/>
      </c>
      <c r="B11" s="3" t="str">
        <f>IF(LEN(A11)=0,"",RESPONSIVENESS!J11)</f>
        <v/>
      </c>
      <c r="C11" s="3" t="str">
        <f>IF(LEN(A11)=0,"",'TECHNICAL SCORING'!J11)</f>
        <v/>
      </c>
      <c r="D11" s="39"/>
      <c r="E11" s="39"/>
      <c r="F11" s="40" t="str">
        <f t="shared" si="0"/>
        <v/>
      </c>
      <c r="G11" s="3" t="str">
        <f t="shared" si="1"/>
        <v/>
      </c>
      <c r="H11" s="21" t="str">
        <f>IF(LEN(A11)=0,"",IF(G11&lt;&gt;"Yes",0,IFERROR(MIN($J$7:$J$26)/F11*'CRITERIA BUILDER'!$C$15,0)))</f>
        <v/>
      </c>
      <c r="I11" s="9" t="str">
        <f t="shared" si="2"/>
        <v/>
      </c>
      <c r="J11" s="41" t="str">
        <f t="shared" si="3"/>
        <v/>
      </c>
      <c r="K11" s="3"/>
      <c r="L11" s="3"/>
      <c r="M11" s="3"/>
      <c r="N11" s="3"/>
      <c r="O11" s="3"/>
      <c r="P11" s="3"/>
      <c r="Q11" s="3"/>
      <c r="R11" s="3"/>
      <c r="S11" s="3"/>
      <c r="T11" s="3"/>
      <c r="U11" s="3"/>
      <c r="V11" s="3"/>
      <c r="W11" s="3"/>
      <c r="X11" s="3"/>
      <c r="Y11" s="3"/>
      <c r="Z11" s="3"/>
      <c r="AA11" s="3"/>
      <c r="AB11" s="3"/>
      <c r="AC11" s="3"/>
      <c r="AD11" s="3"/>
    </row>
    <row r="12" ht="15" customHeight="1" spans="1:30">
      <c r="A12" s="3" t="str">
        <f>IF(LEN('BIDDER REGISTER'!B12)=0,"",'BIDDER REGISTER'!B12)</f>
        <v/>
      </c>
      <c r="B12" s="3" t="str">
        <f>IF(LEN(A12)=0,"",RESPONSIVENESS!J12)</f>
        <v/>
      </c>
      <c r="C12" s="3" t="str">
        <f>IF(LEN(A12)=0,"",'TECHNICAL SCORING'!J12)</f>
        <v/>
      </c>
      <c r="D12" s="39"/>
      <c r="E12" s="39"/>
      <c r="F12" s="40" t="str">
        <f t="shared" si="0"/>
        <v/>
      </c>
      <c r="G12" s="3" t="str">
        <f t="shared" si="1"/>
        <v/>
      </c>
      <c r="H12" s="21" t="str">
        <f>IF(LEN(A12)=0,"",IF(G12&lt;&gt;"Yes",0,IFERROR(MIN($J$7:$J$26)/F12*'CRITERIA BUILDER'!$C$15,0)))</f>
        <v/>
      </c>
      <c r="I12" s="9" t="str">
        <f t="shared" si="2"/>
        <v/>
      </c>
      <c r="J12" s="41" t="str">
        <f t="shared" si="3"/>
        <v/>
      </c>
      <c r="K12" s="3"/>
      <c r="L12" s="3"/>
      <c r="M12" s="3"/>
      <c r="N12" s="3"/>
      <c r="O12" s="3"/>
      <c r="P12" s="3"/>
      <c r="Q12" s="3"/>
      <c r="R12" s="3"/>
      <c r="S12" s="3"/>
      <c r="T12" s="3"/>
      <c r="U12" s="3"/>
      <c r="V12" s="3"/>
      <c r="W12" s="3"/>
      <c r="X12" s="3"/>
      <c r="Y12" s="3"/>
      <c r="Z12" s="3"/>
      <c r="AA12" s="3"/>
      <c r="AB12" s="3"/>
      <c r="AC12" s="3"/>
      <c r="AD12" s="3"/>
    </row>
    <row r="13" ht="15" customHeight="1" spans="1:30">
      <c r="A13" s="3" t="str">
        <f>IF(LEN('BIDDER REGISTER'!B13)=0,"",'BIDDER REGISTER'!B13)</f>
        <v/>
      </c>
      <c r="B13" s="3" t="str">
        <f>IF(LEN(A13)=0,"",RESPONSIVENESS!J13)</f>
        <v/>
      </c>
      <c r="C13" s="3" t="str">
        <f>IF(LEN(A13)=0,"",'TECHNICAL SCORING'!J13)</f>
        <v/>
      </c>
      <c r="D13" s="39"/>
      <c r="E13" s="39"/>
      <c r="F13" s="40" t="str">
        <f t="shared" si="0"/>
        <v/>
      </c>
      <c r="G13" s="3" t="str">
        <f t="shared" si="1"/>
        <v/>
      </c>
      <c r="H13" s="21" t="str">
        <f>IF(LEN(A13)=0,"",IF(G13&lt;&gt;"Yes",0,IFERROR(MIN($J$7:$J$26)/F13*'CRITERIA BUILDER'!$C$15,0)))</f>
        <v/>
      </c>
      <c r="I13" s="9" t="str">
        <f t="shared" si="2"/>
        <v/>
      </c>
      <c r="J13" s="41" t="str">
        <f t="shared" si="3"/>
        <v/>
      </c>
      <c r="K13" s="3"/>
      <c r="L13" s="3"/>
      <c r="M13" s="3"/>
      <c r="N13" s="3"/>
      <c r="O13" s="3"/>
      <c r="P13" s="3"/>
      <c r="Q13" s="3"/>
      <c r="R13" s="3"/>
      <c r="S13" s="3"/>
      <c r="T13" s="3"/>
      <c r="U13" s="3"/>
      <c r="V13" s="3"/>
      <c r="W13" s="3"/>
      <c r="X13" s="3"/>
      <c r="Y13" s="3"/>
      <c r="Z13" s="3"/>
      <c r="AA13" s="3"/>
      <c r="AB13" s="3"/>
      <c r="AC13" s="3"/>
      <c r="AD13" s="3"/>
    </row>
    <row r="14" ht="15" customHeight="1" spans="1:30">
      <c r="A14" s="3" t="str">
        <f>IF(LEN('BIDDER REGISTER'!B14)=0,"",'BIDDER REGISTER'!B14)</f>
        <v/>
      </c>
      <c r="B14" s="3" t="str">
        <f>IF(LEN(A14)=0,"",RESPONSIVENESS!J14)</f>
        <v/>
      </c>
      <c r="C14" s="3" t="str">
        <f>IF(LEN(A14)=0,"",'TECHNICAL SCORING'!J14)</f>
        <v/>
      </c>
      <c r="D14" s="39"/>
      <c r="E14" s="39"/>
      <c r="F14" s="40" t="str">
        <f t="shared" si="0"/>
        <v/>
      </c>
      <c r="G14" s="3" t="str">
        <f t="shared" si="1"/>
        <v/>
      </c>
      <c r="H14" s="21" t="str">
        <f>IF(LEN(A14)=0,"",IF(G14&lt;&gt;"Yes",0,IFERROR(MIN($J$7:$J$26)/F14*'CRITERIA BUILDER'!$C$15,0)))</f>
        <v/>
      </c>
      <c r="I14" s="9" t="str">
        <f t="shared" si="2"/>
        <v/>
      </c>
      <c r="J14" s="41" t="str">
        <f t="shared" si="3"/>
        <v/>
      </c>
      <c r="K14" s="3"/>
      <c r="L14" s="3"/>
      <c r="M14" s="3"/>
      <c r="N14" s="3"/>
      <c r="O14" s="3"/>
      <c r="P14" s="3"/>
      <c r="Q14" s="3"/>
      <c r="R14" s="3"/>
      <c r="S14" s="3"/>
      <c r="T14" s="3"/>
      <c r="U14" s="3"/>
      <c r="V14" s="3"/>
      <c r="W14" s="3"/>
      <c r="X14" s="3"/>
      <c r="Y14" s="3"/>
      <c r="Z14" s="3"/>
      <c r="AA14" s="3"/>
      <c r="AB14" s="3"/>
      <c r="AC14" s="3"/>
      <c r="AD14" s="3"/>
    </row>
    <row r="15" ht="15" customHeight="1" spans="1:30">
      <c r="A15" s="3" t="str">
        <f>IF(LEN('BIDDER REGISTER'!B15)=0,"",'BIDDER REGISTER'!B15)</f>
        <v/>
      </c>
      <c r="B15" s="3" t="str">
        <f>IF(LEN(A15)=0,"",RESPONSIVENESS!J15)</f>
        <v/>
      </c>
      <c r="C15" s="3" t="str">
        <f>IF(LEN(A15)=0,"",'TECHNICAL SCORING'!J15)</f>
        <v/>
      </c>
      <c r="D15" s="39"/>
      <c r="E15" s="39"/>
      <c r="F15" s="40" t="str">
        <f t="shared" si="0"/>
        <v/>
      </c>
      <c r="G15" s="3" t="str">
        <f t="shared" si="1"/>
        <v/>
      </c>
      <c r="H15" s="21" t="str">
        <f>IF(LEN(A15)=0,"",IF(G15&lt;&gt;"Yes",0,IFERROR(MIN($J$7:$J$26)/F15*'CRITERIA BUILDER'!$C$15,0)))</f>
        <v/>
      </c>
      <c r="I15" s="9" t="str">
        <f t="shared" si="2"/>
        <v/>
      </c>
      <c r="J15" s="41" t="str">
        <f t="shared" si="3"/>
        <v/>
      </c>
      <c r="K15" s="3"/>
      <c r="L15" s="3"/>
      <c r="M15" s="3"/>
      <c r="N15" s="3"/>
      <c r="O15" s="3"/>
      <c r="P15" s="3"/>
      <c r="Q15" s="3"/>
      <c r="R15" s="3"/>
      <c r="S15" s="3"/>
      <c r="T15" s="3"/>
      <c r="U15" s="3"/>
      <c r="V15" s="3"/>
      <c r="W15" s="3"/>
      <c r="X15" s="3"/>
      <c r="Y15" s="3"/>
      <c r="Z15" s="3"/>
      <c r="AA15" s="3"/>
      <c r="AB15" s="3"/>
      <c r="AC15" s="3"/>
      <c r="AD15" s="3"/>
    </row>
    <row r="16" ht="15" customHeight="1" spans="1:30">
      <c r="A16" s="3" t="str">
        <f>IF(LEN('BIDDER REGISTER'!B16)=0,"",'BIDDER REGISTER'!B16)</f>
        <v/>
      </c>
      <c r="B16" s="3" t="str">
        <f>IF(LEN(A16)=0,"",RESPONSIVENESS!J16)</f>
        <v/>
      </c>
      <c r="C16" s="3" t="str">
        <f>IF(LEN(A16)=0,"",'TECHNICAL SCORING'!J16)</f>
        <v/>
      </c>
      <c r="D16" s="39"/>
      <c r="E16" s="39"/>
      <c r="F16" s="40" t="str">
        <f t="shared" si="0"/>
        <v/>
      </c>
      <c r="G16" s="3" t="str">
        <f t="shared" si="1"/>
        <v/>
      </c>
      <c r="H16" s="21" t="str">
        <f>IF(LEN(A16)=0,"",IF(G16&lt;&gt;"Yes",0,IFERROR(MIN($J$7:$J$26)/F16*'CRITERIA BUILDER'!$C$15,0)))</f>
        <v/>
      </c>
      <c r="I16" s="9" t="str">
        <f t="shared" si="2"/>
        <v/>
      </c>
      <c r="J16" s="41" t="str">
        <f t="shared" si="3"/>
        <v/>
      </c>
      <c r="K16" s="3"/>
      <c r="L16" s="3"/>
      <c r="M16" s="3"/>
      <c r="N16" s="3"/>
      <c r="O16" s="3"/>
      <c r="P16" s="3"/>
      <c r="Q16" s="3"/>
      <c r="R16" s="3"/>
      <c r="S16" s="3"/>
      <c r="T16" s="3"/>
      <c r="U16" s="3"/>
      <c r="V16" s="3"/>
      <c r="W16" s="3"/>
      <c r="X16" s="3"/>
      <c r="Y16" s="3"/>
      <c r="Z16" s="3"/>
      <c r="AA16" s="3"/>
      <c r="AB16" s="3"/>
      <c r="AC16" s="3"/>
      <c r="AD16" s="3"/>
    </row>
    <row r="17" ht="15" customHeight="1" spans="1:30">
      <c r="A17" s="3" t="str">
        <f>IF(LEN('BIDDER REGISTER'!B17)=0,"",'BIDDER REGISTER'!B17)</f>
        <v/>
      </c>
      <c r="B17" s="3" t="str">
        <f>IF(LEN(A17)=0,"",RESPONSIVENESS!J17)</f>
        <v/>
      </c>
      <c r="C17" s="3" t="str">
        <f>IF(LEN(A17)=0,"",'TECHNICAL SCORING'!J17)</f>
        <v/>
      </c>
      <c r="D17" s="39"/>
      <c r="E17" s="39"/>
      <c r="F17" s="40" t="str">
        <f t="shared" si="0"/>
        <v/>
      </c>
      <c r="G17" s="3" t="str">
        <f t="shared" si="1"/>
        <v/>
      </c>
      <c r="H17" s="21" t="str">
        <f>IF(LEN(A17)=0,"",IF(G17&lt;&gt;"Yes",0,IFERROR(MIN($J$7:$J$26)/F17*'CRITERIA BUILDER'!$C$15,0)))</f>
        <v/>
      </c>
      <c r="I17" s="9" t="str">
        <f t="shared" si="2"/>
        <v/>
      </c>
      <c r="J17" s="41" t="str">
        <f t="shared" si="3"/>
        <v/>
      </c>
      <c r="K17" s="3"/>
      <c r="L17" s="3"/>
      <c r="M17" s="3"/>
      <c r="N17" s="3"/>
      <c r="O17" s="3"/>
      <c r="P17" s="3"/>
      <c r="Q17" s="3"/>
      <c r="R17" s="3"/>
      <c r="S17" s="3"/>
      <c r="T17" s="3"/>
      <c r="U17" s="3"/>
      <c r="V17" s="3"/>
      <c r="W17" s="3"/>
      <c r="X17" s="3"/>
      <c r="Y17" s="3"/>
      <c r="Z17" s="3"/>
      <c r="AA17" s="3"/>
      <c r="AB17" s="3"/>
      <c r="AC17" s="3"/>
      <c r="AD17" s="3"/>
    </row>
    <row r="18" ht="15" customHeight="1" spans="1:30">
      <c r="A18" s="3" t="str">
        <f>IF(LEN('BIDDER REGISTER'!B18)=0,"",'BIDDER REGISTER'!B18)</f>
        <v/>
      </c>
      <c r="B18" s="3" t="str">
        <f>IF(LEN(A18)=0,"",RESPONSIVENESS!J18)</f>
        <v/>
      </c>
      <c r="C18" s="3" t="str">
        <f>IF(LEN(A18)=0,"",'TECHNICAL SCORING'!J18)</f>
        <v/>
      </c>
      <c r="D18" s="39"/>
      <c r="E18" s="39"/>
      <c r="F18" s="40" t="str">
        <f t="shared" si="0"/>
        <v/>
      </c>
      <c r="G18" s="3" t="str">
        <f t="shared" si="1"/>
        <v/>
      </c>
      <c r="H18" s="21" t="str">
        <f>IF(LEN(A18)=0,"",IF(G18&lt;&gt;"Yes",0,IFERROR(MIN($J$7:$J$26)/F18*'CRITERIA BUILDER'!$C$15,0)))</f>
        <v/>
      </c>
      <c r="I18" s="9" t="str">
        <f t="shared" si="2"/>
        <v/>
      </c>
      <c r="J18" s="41" t="str">
        <f t="shared" si="3"/>
        <v/>
      </c>
      <c r="K18" s="3"/>
      <c r="L18" s="3"/>
      <c r="M18" s="3"/>
      <c r="N18" s="3"/>
      <c r="O18" s="3"/>
      <c r="P18" s="3"/>
      <c r="Q18" s="3"/>
      <c r="R18" s="3"/>
      <c r="S18" s="3"/>
      <c r="T18" s="3"/>
      <c r="U18" s="3"/>
      <c r="V18" s="3"/>
      <c r="W18" s="3"/>
      <c r="X18" s="3"/>
      <c r="Y18" s="3"/>
      <c r="Z18" s="3"/>
      <c r="AA18" s="3"/>
      <c r="AB18" s="3"/>
      <c r="AC18" s="3"/>
      <c r="AD18" s="3"/>
    </row>
    <row r="19" ht="15" customHeight="1" spans="1:30">
      <c r="A19" s="3" t="str">
        <f>IF(LEN('BIDDER REGISTER'!B19)=0,"",'BIDDER REGISTER'!B19)</f>
        <v/>
      </c>
      <c r="B19" s="3" t="str">
        <f>IF(LEN(A19)=0,"",RESPONSIVENESS!J19)</f>
        <v/>
      </c>
      <c r="C19" s="3" t="str">
        <f>IF(LEN(A19)=0,"",'TECHNICAL SCORING'!J19)</f>
        <v/>
      </c>
      <c r="D19" s="39"/>
      <c r="E19" s="39"/>
      <c r="F19" s="40" t="str">
        <f t="shared" si="0"/>
        <v/>
      </c>
      <c r="G19" s="3" t="str">
        <f t="shared" si="1"/>
        <v/>
      </c>
      <c r="H19" s="21" t="str">
        <f>IF(LEN(A19)=0,"",IF(G19&lt;&gt;"Yes",0,IFERROR(MIN($J$7:$J$26)/F19*'CRITERIA BUILDER'!$C$15,0)))</f>
        <v/>
      </c>
      <c r="I19" s="9" t="str">
        <f t="shared" si="2"/>
        <v/>
      </c>
      <c r="J19" s="41" t="str">
        <f t="shared" si="3"/>
        <v/>
      </c>
      <c r="K19" s="3"/>
      <c r="L19" s="3"/>
      <c r="M19" s="3"/>
      <c r="N19" s="3"/>
      <c r="O19" s="3"/>
      <c r="P19" s="3"/>
      <c r="Q19" s="3"/>
      <c r="R19" s="3"/>
      <c r="S19" s="3"/>
      <c r="T19" s="3"/>
      <c r="U19" s="3"/>
      <c r="V19" s="3"/>
      <c r="W19" s="3"/>
      <c r="X19" s="3"/>
      <c r="Y19" s="3"/>
      <c r="Z19" s="3"/>
      <c r="AA19" s="3"/>
      <c r="AB19" s="3"/>
      <c r="AC19" s="3"/>
      <c r="AD19" s="3"/>
    </row>
    <row r="20" ht="15" customHeight="1" spans="1:30">
      <c r="A20" s="3" t="str">
        <f>IF(LEN('BIDDER REGISTER'!B20)=0,"",'BIDDER REGISTER'!B20)</f>
        <v/>
      </c>
      <c r="B20" s="3" t="str">
        <f>IF(LEN(A20)=0,"",RESPONSIVENESS!J20)</f>
        <v/>
      </c>
      <c r="C20" s="3" t="str">
        <f>IF(LEN(A20)=0,"",'TECHNICAL SCORING'!J20)</f>
        <v/>
      </c>
      <c r="D20" s="39"/>
      <c r="E20" s="39"/>
      <c r="F20" s="40" t="str">
        <f t="shared" si="0"/>
        <v/>
      </c>
      <c r="G20" s="3" t="str">
        <f t="shared" si="1"/>
        <v/>
      </c>
      <c r="H20" s="21" t="str">
        <f>IF(LEN(A20)=0,"",IF(G20&lt;&gt;"Yes",0,IFERROR(MIN($J$7:$J$26)/F20*'CRITERIA BUILDER'!$C$15,0)))</f>
        <v/>
      </c>
      <c r="I20" s="9" t="str">
        <f t="shared" si="2"/>
        <v/>
      </c>
      <c r="J20" s="41" t="str">
        <f t="shared" si="3"/>
        <v/>
      </c>
      <c r="K20" s="3"/>
      <c r="L20" s="3"/>
      <c r="M20" s="3"/>
      <c r="N20" s="3"/>
      <c r="O20" s="3"/>
      <c r="P20" s="3"/>
      <c r="Q20" s="3"/>
      <c r="R20" s="3"/>
      <c r="S20" s="3"/>
      <c r="T20" s="3"/>
      <c r="U20" s="3"/>
      <c r="V20" s="3"/>
      <c r="W20" s="3"/>
      <c r="X20" s="3"/>
      <c r="Y20" s="3"/>
      <c r="Z20" s="3"/>
      <c r="AA20" s="3"/>
      <c r="AB20" s="3"/>
      <c r="AC20" s="3"/>
      <c r="AD20" s="3"/>
    </row>
    <row r="21" ht="15" customHeight="1" spans="1:30">
      <c r="A21" s="3" t="str">
        <f>IF(LEN('BIDDER REGISTER'!B21)=0,"",'BIDDER REGISTER'!B21)</f>
        <v/>
      </c>
      <c r="B21" s="3" t="str">
        <f>IF(LEN(A21)=0,"",RESPONSIVENESS!J21)</f>
        <v/>
      </c>
      <c r="C21" s="3" t="str">
        <f>IF(LEN(A21)=0,"",'TECHNICAL SCORING'!J21)</f>
        <v/>
      </c>
      <c r="D21" s="39"/>
      <c r="E21" s="39"/>
      <c r="F21" s="40" t="str">
        <f t="shared" si="0"/>
        <v/>
      </c>
      <c r="G21" s="3" t="str">
        <f t="shared" si="1"/>
        <v/>
      </c>
      <c r="H21" s="21" t="str">
        <f>IF(LEN(A21)=0,"",IF(G21&lt;&gt;"Yes",0,IFERROR(MIN($J$7:$J$26)/F21*'CRITERIA BUILDER'!$C$15,0)))</f>
        <v/>
      </c>
      <c r="I21" s="9" t="str">
        <f t="shared" si="2"/>
        <v/>
      </c>
      <c r="J21" s="41" t="str">
        <f t="shared" si="3"/>
        <v/>
      </c>
      <c r="K21" s="3"/>
      <c r="L21" s="3"/>
      <c r="M21" s="3"/>
      <c r="N21" s="3"/>
      <c r="O21" s="3"/>
      <c r="P21" s="3"/>
      <c r="Q21" s="3"/>
      <c r="R21" s="3"/>
      <c r="S21" s="3"/>
      <c r="T21" s="3"/>
      <c r="U21" s="3"/>
      <c r="V21" s="3"/>
      <c r="W21" s="3"/>
      <c r="X21" s="3"/>
      <c r="Y21" s="3"/>
      <c r="Z21" s="3"/>
      <c r="AA21" s="3"/>
      <c r="AB21" s="3"/>
      <c r="AC21" s="3"/>
      <c r="AD21" s="3"/>
    </row>
    <row r="22" ht="15" customHeight="1" spans="1:30">
      <c r="A22" s="3" t="str">
        <f>IF(LEN('BIDDER REGISTER'!B22)=0,"",'BIDDER REGISTER'!B22)</f>
        <v/>
      </c>
      <c r="B22" s="3" t="str">
        <f>IF(LEN(A22)=0,"",RESPONSIVENESS!J22)</f>
        <v/>
      </c>
      <c r="C22" s="3" t="str">
        <f>IF(LEN(A22)=0,"",'TECHNICAL SCORING'!J22)</f>
        <v/>
      </c>
      <c r="D22" s="39"/>
      <c r="E22" s="39"/>
      <c r="F22" s="40" t="str">
        <f t="shared" si="0"/>
        <v/>
      </c>
      <c r="G22" s="3" t="str">
        <f t="shared" si="1"/>
        <v/>
      </c>
      <c r="H22" s="21" t="str">
        <f>IF(LEN(A22)=0,"",IF(G22&lt;&gt;"Yes",0,IFERROR(MIN($J$7:$J$26)/F22*'CRITERIA BUILDER'!$C$15,0)))</f>
        <v/>
      </c>
      <c r="I22" s="9" t="str">
        <f t="shared" si="2"/>
        <v/>
      </c>
      <c r="J22" s="41" t="str">
        <f t="shared" si="3"/>
        <v/>
      </c>
      <c r="K22" s="3"/>
      <c r="L22" s="3"/>
      <c r="M22" s="3"/>
      <c r="N22" s="3"/>
      <c r="O22" s="3"/>
      <c r="P22" s="3"/>
      <c r="Q22" s="3"/>
      <c r="R22" s="3"/>
      <c r="S22" s="3"/>
      <c r="T22" s="3"/>
      <c r="U22" s="3"/>
      <c r="V22" s="3"/>
      <c r="W22" s="3"/>
      <c r="X22" s="3"/>
      <c r="Y22" s="3"/>
      <c r="Z22" s="3"/>
      <c r="AA22" s="3"/>
      <c r="AB22" s="3"/>
      <c r="AC22" s="3"/>
      <c r="AD22" s="3"/>
    </row>
    <row r="23" ht="15" customHeight="1" spans="1:30">
      <c r="A23" s="3" t="str">
        <f>IF(LEN('BIDDER REGISTER'!B23)=0,"",'BIDDER REGISTER'!B23)</f>
        <v/>
      </c>
      <c r="B23" s="3" t="str">
        <f>IF(LEN(A23)=0,"",RESPONSIVENESS!J23)</f>
        <v/>
      </c>
      <c r="C23" s="3" t="str">
        <f>IF(LEN(A23)=0,"",'TECHNICAL SCORING'!J23)</f>
        <v/>
      </c>
      <c r="D23" s="39"/>
      <c r="E23" s="39"/>
      <c r="F23" s="40" t="str">
        <f t="shared" si="0"/>
        <v/>
      </c>
      <c r="G23" s="3" t="str">
        <f t="shared" si="1"/>
        <v/>
      </c>
      <c r="H23" s="21" t="str">
        <f>IF(LEN(A23)=0,"",IF(G23&lt;&gt;"Yes",0,IFERROR(MIN($J$7:$J$26)/F23*'CRITERIA BUILDER'!$C$15,0)))</f>
        <v/>
      </c>
      <c r="I23" s="9" t="str">
        <f t="shared" si="2"/>
        <v/>
      </c>
      <c r="J23" s="41" t="str">
        <f t="shared" si="3"/>
        <v/>
      </c>
      <c r="K23" s="3"/>
      <c r="L23" s="3"/>
      <c r="M23" s="3"/>
      <c r="N23" s="3"/>
      <c r="O23" s="3"/>
      <c r="P23" s="3"/>
      <c r="Q23" s="3"/>
      <c r="R23" s="3"/>
      <c r="S23" s="3"/>
      <c r="T23" s="3"/>
      <c r="U23" s="3"/>
      <c r="V23" s="3"/>
      <c r="W23" s="3"/>
      <c r="X23" s="3"/>
      <c r="Y23" s="3"/>
      <c r="Z23" s="3"/>
      <c r="AA23" s="3"/>
      <c r="AB23" s="3"/>
      <c r="AC23" s="3"/>
      <c r="AD23" s="3"/>
    </row>
    <row r="24" ht="15" customHeight="1" spans="1:30">
      <c r="A24" s="3" t="str">
        <f>IF(LEN('BIDDER REGISTER'!B24)=0,"",'BIDDER REGISTER'!B24)</f>
        <v/>
      </c>
      <c r="B24" s="3" t="str">
        <f>IF(LEN(A24)=0,"",RESPONSIVENESS!J24)</f>
        <v/>
      </c>
      <c r="C24" s="3" t="str">
        <f>IF(LEN(A24)=0,"",'TECHNICAL SCORING'!J24)</f>
        <v/>
      </c>
      <c r="D24" s="39"/>
      <c r="E24" s="39"/>
      <c r="F24" s="40" t="str">
        <f t="shared" si="0"/>
        <v/>
      </c>
      <c r="G24" s="3" t="str">
        <f t="shared" si="1"/>
        <v/>
      </c>
      <c r="H24" s="21" t="str">
        <f>IF(LEN(A24)=0,"",IF(G24&lt;&gt;"Yes",0,IFERROR(MIN($J$7:$J$26)/F24*'CRITERIA BUILDER'!$C$15,0)))</f>
        <v/>
      </c>
      <c r="I24" s="9" t="str">
        <f t="shared" si="2"/>
        <v/>
      </c>
      <c r="J24" s="41" t="str">
        <f t="shared" si="3"/>
        <v/>
      </c>
      <c r="K24" s="3"/>
      <c r="L24" s="3"/>
      <c r="M24" s="3"/>
      <c r="N24" s="3"/>
      <c r="O24" s="3"/>
      <c r="P24" s="3"/>
      <c r="Q24" s="3"/>
      <c r="R24" s="3"/>
      <c r="S24" s="3"/>
      <c r="T24" s="3"/>
      <c r="U24" s="3"/>
      <c r="V24" s="3"/>
      <c r="W24" s="3"/>
      <c r="X24" s="3"/>
      <c r="Y24" s="3"/>
      <c r="Z24" s="3"/>
      <c r="AA24" s="3"/>
      <c r="AB24" s="3"/>
      <c r="AC24" s="3"/>
      <c r="AD24" s="3"/>
    </row>
    <row r="25" ht="15" customHeight="1" spans="1:30">
      <c r="A25" s="3" t="str">
        <f>IF(LEN('BIDDER REGISTER'!B25)=0,"",'BIDDER REGISTER'!B25)</f>
        <v/>
      </c>
      <c r="B25" s="3" t="str">
        <f>IF(LEN(A25)=0,"",RESPONSIVENESS!J25)</f>
        <v/>
      </c>
      <c r="C25" s="3" t="str">
        <f>IF(LEN(A25)=0,"",'TECHNICAL SCORING'!J25)</f>
        <v/>
      </c>
      <c r="D25" s="39"/>
      <c r="E25" s="39"/>
      <c r="F25" s="40" t="str">
        <f t="shared" si="0"/>
        <v/>
      </c>
      <c r="G25" s="3" t="str">
        <f t="shared" si="1"/>
        <v/>
      </c>
      <c r="H25" s="21" t="str">
        <f>IF(LEN(A25)=0,"",IF(G25&lt;&gt;"Yes",0,IFERROR(MIN($J$7:$J$26)/F25*'CRITERIA BUILDER'!$C$15,0)))</f>
        <v/>
      </c>
      <c r="I25" s="9" t="str">
        <f t="shared" si="2"/>
        <v/>
      </c>
      <c r="J25" s="41" t="str">
        <f t="shared" si="3"/>
        <v/>
      </c>
      <c r="K25" s="3"/>
      <c r="L25" s="3"/>
      <c r="M25" s="3"/>
      <c r="N25" s="3"/>
      <c r="O25" s="3"/>
      <c r="P25" s="3"/>
      <c r="Q25" s="3"/>
      <c r="R25" s="3"/>
      <c r="S25" s="3"/>
      <c r="T25" s="3"/>
      <c r="U25" s="3"/>
      <c r="V25" s="3"/>
      <c r="W25" s="3"/>
      <c r="X25" s="3"/>
      <c r="Y25" s="3"/>
      <c r="Z25" s="3"/>
      <c r="AA25" s="3"/>
      <c r="AB25" s="3"/>
      <c r="AC25" s="3"/>
      <c r="AD25" s="3"/>
    </row>
    <row r="26" ht="15" customHeight="1" spans="1:30">
      <c r="A26" s="3" t="str">
        <f>IF(LEN('BIDDER REGISTER'!B26)=0,"",'BIDDER REGISTER'!B26)</f>
        <v/>
      </c>
      <c r="B26" s="3" t="str">
        <f>IF(LEN(A26)=0,"",RESPONSIVENESS!J26)</f>
        <v/>
      </c>
      <c r="C26" s="3" t="str">
        <f>IF(LEN(A26)=0,"",'TECHNICAL SCORING'!J26)</f>
        <v/>
      </c>
      <c r="D26" s="39"/>
      <c r="E26" s="39"/>
      <c r="F26" s="40" t="str">
        <f t="shared" si="0"/>
        <v/>
      </c>
      <c r="G26" s="3" t="str">
        <f t="shared" si="1"/>
        <v/>
      </c>
      <c r="H26" s="21" t="str">
        <f>IF(LEN(A26)=0,"",IF(G26&lt;&gt;"Yes",0,IFERROR(MIN($J$7:$J$26)/F26*'CRITERIA BUILDER'!$C$15,0)))</f>
        <v/>
      </c>
      <c r="I26" s="9" t="str">
        <f t="shared" si="2"/>
        <v/>
      </c>
      <c r="J26" s="41" t="str">
        <f t="shared" si="3"/>
        <v/>
      </c>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conditionalFormatting sqref="G7:G26">
    <cfRule type="expression" dxfId="0" priority="2">
      <formula>G7="Yes"</formula>
    </cfRule>
    <cfRule type="expression" dxfId="1" priority="3">
      <formula>G7="No"</formula>
    </cfRule>
  </conditionalFormatting>
  <pageMargins left="0.7" right="0.7" top="0.75" bottom="0.75"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xSplit="2" ySplit="6" topLeftCell="C7" activePane="bottomRight" state="frozen"/>
      <selection/>
      <selection pane="topRight"/>
      <selection pane="bottomLeft"/>
      <selection pane="bottomRight" activeCell="A1" sqref="A1:L1"/>
    </sheetView>
  </sheetViews>
  <sheetFormatPr defaultColWidth="8.68181818181818" defaultRowHeight="14.5"/>
  <cols>
    <col min="1" max="1" width="5" style="1" customWidth="1"/>
    <col min="2" max="2" width="22" style="1" customWidth="1"/>
    <col min="3" max="3" width="14" style="1" customWidth="1"/>
    <col min="4" max="4" width="45" style="1" customWidth="1"/>
    <col min="5" max="5" width="14" style="1" customWidth="1"/>
    <col min="6" max="6" width="45" style="1" customWidth="1"/>
    <col min="7" max="7" width="14" style="1" customWidth="1"/>
    <col min="8" max="8" width="30" style="1" customWidth="1"/>
  </cols>
  <sheetData>
    <row r="1" ht="30" customHeight="1" spans="1:30">
      <c r="A1" s="2" t="s">
        <v>224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225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
      <c r="B4" s="3"/>
      <c r="C4" s="3"/>
      <c r="D4" s="3"/>
      <c r="E4" s="3"/>
      <c r="F4" s="3"/>
      <c r="G4" s="3"/>
      <c r="H4" s="3"/>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23.25" customHeight="1" spans="1:30">
      <c r="A6" s="6" t="s">
        <v>103</v>
      </c>
      <c r="B6" s="6" t="s">
        <v>163</v>
      </c>
      <c r="C6" s="6" t="s">
        <v>226</v>
      </c>
      <c r="D6" s="6" t="s">
        <v>227</v>
      </c>
      <c r="E6" s="6" t="s">
        <v>228</v>
      </c>
      <c r="F6" s="6" t="s">
        <v>229</v>
      </c>
      <c r="G6" s="6" t="s">
        <v>230</v>
      </c>
      <c r="H6" s="6" t="s">
        <v>213</v>
      </c>
      <c r="I6" s="3"/>
      <c r="J6" s="3"/>
      <c r="K6" s="3"/>
      <c r="L6" s="3"/>
      <c r="M6" s="3"/>
      <c r="N6" s="3"/>
      <c r="O6" s="3"/>
      <c r="P6" s="3"/>
      <c r="Q6" s="3"/>
      <c r="R6" s="3"/>
      <c r="S6" s="3"/>
      <c r="T6" s="3"/>
      <c r="U6" s="3"/>
      <c r="V6" s="3"/>
      <c r="W6" s="3"/>
      <c r="X6" s="3"/>
      <c r="Y6" s="3"/>
      <c r="Z6" s="3"/>
      <c r="AA6" s="3"/>
      <c r="AB6" s="3"/>
      <c r="AC6" s="3"/>
      <c r="AD6" s="3"/>
    </row>
    <row r="7" ht="15" customHeight="1" spans="1:30">
      <c r="A7" s="3">
        <v>1</v>
      </c>
      <c r="B7" s="35"/>
      <c r="C7" s="36"/>
      <c r="D7" s="37"/>
      <c r="E7" s="38"/>
      <c r="F7" s="37"/>
      <c r="G7" s="37"/>
      <c r="H7" s="37"/>
      <c r="I7" s="3"/>
      <c r="J7" s="3"/>
      <c r="K7" s="3"/>
      <c r="L7" s="3"/>
      <c r="M7" s="3"/>
      <c r="N7" s="3"/>
      <c r="O7" s="3"/>
      <c r="P7" s="3"/>
      <c r="Q7" s="3"/>
      <c r="R7" s="3"/>
      <c r="S7" s="3"/>
      <c r="T7" s="3"/>
      <c r="U7" s="3"/>
      <c r="V7" s="3"/>
      <c r="W7" s="3"/>
      <c r="X7" s="3"/>
      <c r="Y7" s="3"/>
      <c r="Z7" s="3"/>
      <c r="AA7" s="3"/>
      <c r="AB7" s="3"/>
      <c r="AC7" s="3"/>
      <c r="AD7" s="3"/>
    </row>
    <row r="8" ht="15" customHeight="1" spans="1:30">
      <c r="A8" s="3">
        <v>2</v>
      </c>
      <c r="B8" s="35"/>
      <c r="C8" s="36"/>
      <c r="D8" s="37"/>
      <c r="E8" s="38"/>
      <c r="F8" s="37"/>
      <c r="G8" s="37"/>
      <c r="H8" s="37"/>
      <c r="I8" s="3"/>
      <c r="J8" s="3"/>
      <c r="K8" s="3"/>
      <c r="L8" s="3"/>
      <c r="M8" s="3"/>
      <c r="N8" s="3"/>
      <c r="O8" s="3"/>
      <c r="P8" s="3"/>
      <c r="Q8" s="3"/>
      <c r="R8" s="3"/>
      <c r="S8" s="3"/>
      <c r="T8" s="3"/>
      <c r="U8" s="3"/>
      <c r="V8" s="3"/>
      <c r="W8" s="3"/>
      <c r="X8" s="3"/>
      <c r="Y8" s="3"/>
      <c r="Z8" s="3"/>
      <c r="AA8" s="3"/>
      <c r="AB8" s="3"/>
      <c r="AC8" s="3"/>
      <c r="AD8" s="3"/>
    </row>
    <row r="9" ht="15" customHeight="1" spans="1:30">
      <c r="A9" s="3">
        <v>3</v>
      </c>
      <c r="B9" s="35"/>
      <c r="C9" s="36"/>
      <c r="D9" s="37"/>
      <c r="E9" s="38"/>
      <c r="F9" s="37"/>
      <c r="G9" s="37"/>
      <c r="H9" s="37"/>
      <c r="I9" s="3"/>
      <c r="J9" s="3"/>
      <c r="K9" s="3"/>
      <c r="L9" s="3"/>
      <c r="M9" s="3"/>
      <c r="N9" s="3"/>
      <c r="O9" s="3"/>
      <c r="P9" s="3"/>
      <c r="Q9" s="3"/>
      <c r="R9" s="3"/>
      <c r="S9" s="3"/>
      <c r="T9" s="3"/>
      <c r="U9" s="3"/>
      <c r="V9" s="3"/>
      <c r="W9" s="3"/>
      <c r="X9" s="3"/>
      <c r="Y9" s="3"/>
      <c r="Z9" s="3"/>
      <c r="AA9" s="3"/>
      <c r="AB9" s="3"/>
      <c r="AC9" s="3"/>
      <c r="AD9" s="3"/>
    </row>
    <row r="10" ht="15" customHeight="1" spans="1:30">
      <c r="A10" s="3">
        <v>4</v>
      </c>
      <c r="B10" s="35"/>
      <c r="C10" s="36"/>
      <c r="D10" s="37"/>
      <c r="E10" s="38"/>
      <c r="F10" s="37"/>
      <c r="G10" s="37"/>
      <c r="H10" s="37"/>
      <c r="I10" s="3"/>
      <c r="J10" s="3"/>
      <c r="K10" s="3"/>
      <c r="L10" s="3"/>
      <c r="M10" s="3"/>
      <c r="N10" s="3"/>
      <c r="O10" s="3"/>
      <c r="P10" s="3"/>
      <c r="Q10" s="3"/>
      <c r="R10" s="3"/>
      <c r="S10" s="3"/>
      <c r="T10" s="3"/>
      <c r="U10" s="3"/>
      <c r="V10" s="3"/>
      <c r="W10" s="3"/>
      <c r="X10" s="3"/>
      <c r="Y10" s="3"/>
      <c r="Z10" s="3"/>
      <c r="AA10" s="3"/>
      <c r="AB10" s="3"/>
      <c r="AC10" s="3"/>
      <c r="AD10" s="3"/>
    </row>
    <row r="11" ht="15" customHeight="1" spans="1:30">
      <c r="A11" s="3">
        <v>5</v>
      </c>
      <c r="B11" s="35"/>
      <c r="C11" s="36"/>
      <c r="D11" s="37"/>
      <c r="E11" s="38"/>
      <c r="F11" s="37"/>
      <c r="G11" s="37"/>
      <c r="H11" s="37"/>
      <c r="I11" s="3"/>
      <c r="J11" s="3"/>
      <c r="K11" s="3"/>
      <c r="L11" s="3"/>
      <c r="M11" s="3"/>
      <c r="N11" s="3"/>
      <c r="O11" s="3"/>
      <c r="P11" s="3"/>
      <c r="Q11" s="3"/>
      <c r="R11" s="3"/>
      <c r="S11" s="3"/>
      <c r="T11" s="3"/>
      <c r="U11" s="3"/>
      <c r="V11" s="3"/>
      <c r="W11" s="3"/>
      <c r="X11" s="3"/>
      <c r="Y11" s="3"/>
      <c r="Z11" s="3"/>
      <c r="AA11" s="3"/>
      <c r="AB11" s="3"/>
      <c r="AC11" s="3"/>
      <c r="AD11" s="3"/>
    </row>
    <row r="12" ht="15" customHeight="1" spans="1:30">
      <c r="A12" s="3">
        <v>6</v>
      </c>
      <c r="B12" s="35"/>
      <c r="C12" s="36"/>
      <c r="D12" s="37"/>
      <c r="E12" s="38"/>
      <c r="F12" s="37"/>
      <c r="G12" s="37"/>
      <c r="H12" s="37"/>
      <c r="I12" s="3"/>
      <c r="J12" s="3"/>
      <c r="K12" s="3"/>
      <c r="L12" s="3"/>
      <c r="M12" s="3"/>
      <c r="N12" s="3"/>
      <c r="O12" s="3"/>
      <c r="P12" s="3"/>
      <c r="Q12" s="3"/>
      <c r="R12" s="3"/>
      <c r="S12" s="3"/>
      <c r="T12" s="3"/>
      <c r="U12" s="3"/>
      <c r="V12" s="3"/>
      <c r="W12" s="3"/>
      <c r="X12" s="3"/>
      <c r="Y12" s="3"/>
      <c r="Z12" s="3"/>
      <c r="AA12" s="3"/>
      <c r="AB12" s="3"/>
      <c r="AC12" s="3"/>
      <c r="AD12" s="3"/>
    </row>
    <row r="13" ht="15" customHeight="1" spans="1:30">
      <c r="A13" s="3">
        <v>7</v>
      </c>
      <c r="B13" s="35"/>
      <c r="C13" s="36"/>
      <c r="D13" s="37"/>
      <c r="E13" s="38"/>
      <c r="F13" s="37"/>
      <c r="G13" s="37"/>
      <c r="H13" s="37"/>
      <c r="I13" s="3"/>
      <c r="J13" s="3"/>
      <c r="K13" s="3"/>
      <c r="L13" s="3"/>
      <c r="M13" s="3"/>
      <c r="N13" s="3"/>
      <c r="O13" s="3"/>
      <c r="P13" s="3"/>
      <c r="Q13" s="3"/>
      <c r="R13" s="3"/>
      <c r="S13" s="3"/>
      <c r="T13" s="3"/>
      <c r="U13" s="3"/>
      <c r="V13" s="3"/>
      <c r="W13" s="3"/>
      <c r="X13" s="3"/>
      <c r="Y13" s="3"/>
      <c r="Z13" s="3"/>
      <c r="AA13" s="3"/>
      <c r="AB13" s="3"/>
      <c r="AC13" s="3"/>
      <c r="AD13" s="3"/>
    </row>
    <row r="14" ht="15" customHeight="1" spans="1:30">
      <c r="A14" s="3">
        <v>8</v>
      </c>
      <c r="B14" s="35"/>
      <c r="C14" s="36"/>
      <c r="D14" s="37"/>
      <c r="E14" s="38"/>
      <c r="F14" s="37"/>
      <c r="G14" s="37"/>
      <c r="H14" s="37"/>
      <c r="I14" s="3"/>
      <c r="J14" s="3"/>
      <c r="K14" s="3"/>
      <c r="L14" s="3"/>
      <c r="M14" s="3"/>
      <c r="N14" s="3"/>
      <c r="O14" s="3"/>
      <c r="P14" s="3"/>
      <c r="Q14" s="3"/>
      <c r="R14" s="3"/>
      <c r="S14" s="3"/>
      <c r="T14" s="3"/>
      <c r="U14" s="3"/>
      <c r="V14" s="3"/>
      <c r="W14" s="3"/>
      <c r="X14" s="3"/>
      <c r="Y14" s="3"/>
      <c r="Z14" s="3"/>
      <c r="AA14" s="3"/>
      <c r="AB14" s="3"/>
      <c r="AC14" s="3"/>
      <c r="AD14" s="3"/>
    </row>
    <row r="15" ht="15" customHeight="1" spans="1:30">
      <c r="A15" s="3">
        <v>9</v>
      </c>
      <c r="B15" s="35"/>
      <c r="C15" s="36"/>
      <c r="D15" s="37"/>
      <c r="E15" s="38"/>
      <c r="F15" s="37"/>
      <c r="G15" s="37"/>
      <c r="H15" s="37"/>
      <c r="I15" s="3"/>
      <c r="J15" s="3"/>
      <c r="K15" s="3"/>
      <c r="L15" s="3"/>
      <c r="M15" s="3"/>
      <c r="N15" s="3"/>
      <c r="O15" s="3"/>
      <c r="P15" s="3"/>
      <c r="Q15" s="3"/>
      <c r="R15" s="3"/>
      <c r="S15" s="3"/>
      <c r="T15" s="3"/>
      <c r="U15" s="3"/>
      <c r="V15" s="3"/>
      <c r="W15" s="3"/>
      <c r="X15" s="3"/>
      <c r="Y15" s="3"/>
      <c r="Z15" s="3"/>
      <c r="AA15" s="3"/>
      <c r="AB15" s="3"/>
      <c r="AC15" s="3"/>
      <c r="AD15" s="3"/>
    </row>
    <row r="16" ht="15" customHeight="1" spans="1:30">
      <c r="A16" s="3">
        <v>10</v>
      </c>
      <c r="B16" s="35"/>
      <c r="C16" s="36"/>
      <c r="D16" s="37"/>
      <c r="E16" s="38"/>
      <c r="F16" s="37"/>
      <c r="G16" s="37"/>
      <c r="H16" s="37"/>
      <c r="I16" s="3"/>
      <c r="J16" s="3"/>
      <c r="K16" s="3"/>
      <c r="L16" s="3"/>
      <c r="M16" s="3"/>
      <c r="N16" s="3"/>
      <c r="O16" s="3"/>
      <c r="P16" s="3"/>
      <c r="Q16" s="3"/>
      <c r="R16" s="3"/>
      <c r="S16" s="3"/>
      <c r="T16" s="3"/>
      <c r="U16" s="3"/>
      <c r="V16" s="3"/>
      <c r="W16" s="3"/>
      <c r="X16" s="3"/>
      <c r="Y16" s="3"/>
      <c r="Z16" s="3"/>
      <c r="AA16" s="3"/>
      <c r="AB16" s="3"/>
      <c r="AC16" s="3"/>
      <c r="AD16" s="3"/>
    </row>
    <row r="17" ht="15" customHeight="1" spans="1:30">
      <c r="A17" s="3">
        <v>11</v>
      </c>
      <c r="B17" s="35"/>
      <c r="C17" s="36"/>
      <c r="D17" s="37"/>
      <c r="E17" s="38"/>
      <c r="F17" s="37"/>
      <c r="G17" s="37"/>
      <c r="H17" s="37"/>
      <c r="I17" s="3"/>
      <c r="J17" s="3"/>
      <c r="K17" s="3"/>
      <c r="L17" s="3"/>
      <c r="M17" s="3"/>
      <c r="N17" s="3"/>
      <c r="O17" s="3"/>
      <c r="P17" s="3"/>
      <c r="Q17" s="3"/>
      <c r="R17" s="3"/>
      <c r="S17" s="3"/>
      <c r="T17" s="3"/>
      <c r="U17" s="3"/>
      <c r="V17" s="3"/>
      <c r="W17" s="3"/>
      <c r="X17" s="3"/>
      <c r="Y17" s="3"/>
      <c r="Z17" s="3"/>
      <c r="AA17" s="3"/>
      <c r="AB17" s="3"/>
      <c r="AC17" s="3"/>
      <c r="AD17" s="3"/>
    </row>
    <row r="18" ht="15" customHeight="1" spans="1:30">
      <c r="A18" s="3">
        <v>12</v>
      </c>
      <c r="B18" s="35"/>
      <c r="C18" s="36"/>
      <c r="D18" s="37"/>
      <c r="E18" s="38"/>
      <c r="F18" s="37"/>
      <c r="G18" s="37"/>
      <c r="H18" s="37"/>
      <c r="I18" s="3"/>
      <c r="J18" s="3"/>
      <c r="K18" s="3"/>
      <c r="L18" s="3"/>
      <c r="M18" s="3"/>
      <c r="N18" s="3"/>
      <c r="O18" s="3"/>
      <c r="P18" s="3"/>
      <c r="Q18" s="3"/>
      <c r="R18" s="3"/>
      <c r="S18" s="3"/>
      <c r="T18" s="3"/>
      <c r="U18" s="3"/>
      <c r="V18" s="3"/>
      <c r="W18" s="3"/>
      <c r="X18" s="3"/>
      <c r="Y18" s="3"/>
      <c r="Z18" s="3"/>
      <c r="AA18" s="3"/>
      <c r="AB18" s="3"/>
      <c r="AC18" s="3"/>
      <c r="AD18" s="3"/>
    </row>
    <row r="19" ht="15" customHeight="1" spans="1:30">
      <c r="A19" s="3">
        <v>13</v>
      </c>
      <c r="B19" s="35"/>
      <c r="C19" s="36"/>
      <c r="D19" s="37"/>
      <c r="E19" s="38"/>
      <c r="F19" s="37"/>
      <c r="G19" s="37"/>
      <c r="H19" s="37"/>
      <c r="I19" s="3"/>
      <c r="J19" s="3"/>
      <c r="K19" s="3"/>
      <c r="L19" s="3"/>
      <c r="M19" s="3"/>
      <c r="N19" s="3"/>
      <c r="O19" s="3"/>
      <c r="P19" s="3"/>
      <c r="Q19" s="3"/>
      <c r="R19" s="3"/>
      <c r="S19" s="3"/>
      <c r="T19" s="3"/>
      <c r="U19" s="3"/>
      <c r="V19" s="3"/>
      <c r="W19" s="3"/>
      <c r="X19" s="3"/>
      <c r="Y19" s="3"/>
      <c r="Z19" s="3"/>
      <c r="AA19" s="3"/>
      <c r="AB19" s="3"/>
      <c r="AC19" s="3"/>
      <c r="AD19" s="3"/>
    </row>
    <row r="20" ht="15" customHeight="1" spans="1:30">
      <c r="A20" s="3">
        <v>14</v>
      </c>
      <c r="B20" s="35"/>
      <c r="C20" s="36"/>
      <c r="D20" s="37"/>
      <c r="E20" s="38"/>
      <c r="F20" s="37"/>
      <c r="G20" s="37"/>
      <c r="H20" s="37"/>
      <c r="I20" s="3"/>
      <c r="J20" s="3"/>
      <c r="K20" s="3"/>
      <c r="L20" s="3"/>
      <c r="M20" s="3"/>
      <c r="N20" s="3"/>
      <c r="O20" s="3"/>
      <c r="P20" s="3"/>
      <c r="Q20" s="3"/>
      <c r="R20" s="3"/>
      <c r="S20" s="3"/>
      <c r="T20" s="3"/>
      <c r="U20" s="3"/>
      <c r="V20" s="3"/>
      <c r="W20" s="3"/>
      <c r="X20" s="3"/>
      <c r="Y20" s="3"/>
      <c r="Z20" s="3"/>
      <c r="AA20" s="3"/>
      <c r="AB20" s="3"/>
      <c r="AC20" s="3"/>
      <c r="AD20" s="3"/>
    </row>
    <row r="21" ht="15" customHeight="1" spans="1:30">
      <c r="A21" s="3">
        <v>15</v>
      </c>
      <c r="B21" s="35"/>
      <c r="C21" s="36"/>
      <c r="D21" s="37"/>
      <c r="E21" s="38"/>
      <c r="F21" s="37"/>
      <c r="G21" s="37"/>
      <c r="H21" s="37"/>
      <c r="I21" s="3"/>
      <c r="J21" s="3"/>
      <c r="K21" s="3"/>
      <c r="L21" s="3"/>
      <c r="M21" s="3"/>
      <c r="N21" s="3"/>
      <c r="O21" s="3"/>
      <c r="P21" s="3"/>
      <c r="Q21" s="3"/>
      <c r="R21" s="3"/>
      <c r="S21" s="3"/>
      <c r="T21" s="3"/>
      <c r="U21" s="3"/>
      <c r="V21" s="3"/>
      <c r="W21" s="3"/>
      <c r="X21" s="3"/>
      <c r="Y21" s="3"/>
      <c r="Z21" s="3"/>
      <c r="AA21" s="3"/>
      <c r="AB21" s="3"/>
      <c r="AC21" s="3"/>
      <c r="AD21" s="3"/>
    </row>
    <row r="22" ht="15" customHeight="1" spans="1:30">
      <c r="A22" s="3">
        <v>16</v>
      </c>
      <c r="B22" s="35"/>
      <c r="C22" s="36"/>
      <c r="D22" s="37"/>
      <c r="E22" s="38"/>
      <c r="F22" s="37"/>
      <c r="G22" s="37"/>
      <c r="H22" s="37"/>
      <c r="I22" s="3"/>
      <c r="J22" s="3"/>
      <c r="K22" s="3"/>
      <c r="L22" s="3"/>
      <c r="M22" s="3"/>
      <c r="N22" s="3"/>
      <c r="O22" s="3"/>
      <c r="P22" s="3"/>
      <c r="Q22" s="3"/>
      <c r="R22" s="3"/>
      <c r="S22" s="3"/>
      <c r="T22" s="3"/>
      <c r="U22" s="3"/>
      <c r="V22" s="3"/>
      <c r="W22" s="3"/>
      <c r="X22" s="3"/>
      <c r="Y22" s="3"/>
      <c r="Z22" s="3"/>
      <c r="AA22" s="3"/>
      <c r="AB22" s="3"/>
      <c r="AC22" s="3"/>
      <c r="AD22" s="3"/>
    </row>
    <row r="23" ht="15" customHeight="1" spans="1:30">
      <c r="A23" s="3">
        <v>17</v>
      </c>
      <c r="B23" s="35"/>
      <c r="C23" s="36"/>
      <c r="D23" s="37"/>
      <c r="E23" s="38"/>
      <c r="F23" s="37"/>
      <c r="G23" s="37"/>
      <c r="H23" s="37"/>
      <c r="I23" s="3"/>
      <c r="J23" s="3"/>
      <c r="K23" s="3"/>
      <c r="L23" s="3"/>
      <c r="M23" s="3"/>
      <c r="N23" s="3"/>
      <c r="O23" s="3"/>
      <c r="P23" s="3"/>
      <c r="Q23" s="3"/>
      <c r="R23" s="3"/>
      <c r="S23" s="3"/>
      <c r="T23" s="3"/>
      <c r="U23" s="3"/>
      <c r="V23" s="3"/>
      <c r="W23" s="3"/>
      <c r="X23" s="3"/>
      <c r="Y23" s="3"/>
      <c r="Z23" s="3"/>
      <c r="AA23" s="3"/>
      <c r="AB23" s="3"/>
      <c r="AC23" s="3"/>
      <c r="AD23" s="3"/>
    </row>
    <row r="24" ht="15" customHeight="1" spans="1:30">
      <c r="A24" s="3">
        <v>18</v>
      </c>
      <c r="B24" s="35"/>
      <c r="C24" s="36"/>
      <c r="D24" s="37"/>
      <c r="E24" s="38"/>
      <c r="F24" s="37"/>
      <c r="G24" s="37"/>
      <c r="H24" s="37"/>
      <c r="I24" s="3"/>
      <c r="J24" s="3"/>
      <c r="K24" s="3"/>
      <c r="L24" s="3"/>
      <c r="M24" s="3"/>
      <c r="N24" s="3"/>
      <c r="O24" s="3"/>
      <c r="P24" s="3"/>
      <c r="Q24" s="3"/>
      <c r="R24" s="3"/>
      <c r="S24" s="3"/>
      <c r="T24" s="3"/>
      <c r="U24" s="3"/>
      <c r="V24" s="3"/>
      <c r="W24" s="3"/>
      <c r="X24" s="3"/>
      <c r="Y24" s="3"/>
      <c r="Z24" s="3"/>
      <c r="AA24" s="3"/>
      <c r="AB24" s="3"/>
      <c r="AC24" s="3"/>
      <c r="AD24" s="3"/>
    </row>
    <row r="25" ht="15" customHeight="1" spans="1:30">
      <c r="A25" s="3">
        <v>19</v>
      </c>
      <c r="B25" s="35"/>
      <c r="C25" s="36"/>
      <c r="D25" s="37"/>
      <c r="E25" s="38"/>
      <c r="F25" s="37"/>
      <c r="G25" s="37"/>
      <c r="H25" s="37"/>
      <c r="I25" s="3"/>
      <c r="J25" s="3"/>
      <c r="K25" s="3"/>
      <c r="L25" s="3"/>
      <c r="M25" s="3"/>
      <c r="N25" s="3"/>
      <c r="O25" s="3"/>
      <c r="P25" s="3"/>
      <c r="Q25" s="3"/>
      <c r="R25" s="3"/>
      <c r="S25" s="3"/>
      <c r="T25" s="3"/>
      <c r="U25" s="3"/>
      <c r="V25" s="3"/>
      <c r="W25" s="3"/>
      <c r="X25" s="3"/>
      <c r="Y25" s="3"/>
      <c r="Z25" s="3"/>
      <c r="AA25" s="3"/>
      <c r="AB25" s="3"/>
      <c r="AC25" s="3"/>
      <c r="AD25" s="3"/>
    </row>
    <row r="26" ht="15" customHeight="1" spans="1:30">
      <c r="A26" s="3">
        <v>20</v>
      </c>
      <c r="B26" s="35"/>
      <c r="C26" s="36"/>
      <c r="D26" s="37"/>
      <c r="E26" s="38"/>
      <c r="F26" s="37"/>
      <c r="G26" s="37"/>
      <c r="H26" s="37"/>
      <c r="I26" s="3"/>
      <c r="J26" s="3"/>
      <c r="K26" s="3"/>
      <c r="L26" s="3"/>
      <c r="M26" s="3"/>
      <c r="N26" s="3"/>
      <c r="O26" s="3"/>
      <c r="P26" s="3"/>
      <c r="Q26" s="3"/>
      <c r="R26" s="3"/>
      <c r="S26" s="3"/>
      <c r="T26" s="3"/>
      <c r="U26" s="3"/>
      <c r="V26" s="3"/>
      <c r="W26" s="3"/>
      <c r="X26" s="3"/>
      <c r="Y26" s="3"/>
      <c r="Z26" s="3"/>
      <c r="AA26" s="3"/>
      <c r="AB26" s="3"/>
      <c r="AC26" s="3"/>
      <c r="AD26" s="3"/>
    </row>
    <row r="27" ht="15" customHeight="1" spans="1:30">
      <c r="A27" s="3">
        <v>21</v>
      </c>
      <c r="B27" s="35"/>
      <c r="C27" s="36"/>
      <c r="D27" s="37"/>
      <c r="E27" s="38"/>
      <c r="F27" s="37"/>
      <c r="G27" s="37"/>
      <c r="H27" s="37"/>
      <c r="I27" s="3"/>
      <c r="J27" s="3"/>
      <c r="K27" s="3"/>
      <c r="L27" s="3"/>
      <c r="M27" s="3"/>
      <c r="N27" s="3"/>
      <c r="O27" s="3"/>
      <c r="P27" s="3"/>
      <c r="Q27" s="3"/>
      <c r="R27" s="3"/>
      <c r="S27" s="3"/>
      <c r="T27" s="3"/>
      <c r="U27" s="3"/>
      <c r="V27" s="3"/>
      <c r="W27" s="3"/>
      <c r="X27" s="3"/>
      <c r="Y27" s="3"/>
      <c r="Z27" s="3"/>
      <c r="AA27" s="3"/>
      <c r="AB27" s="3"/>
      <c r="AC27" s="3"/>
      <c r="AD27" s="3"/>
    </row>
    <row r="28" ht="15" customHeight="1" spans="1:30">
      <c r="A28" s="3">
        <v>22</v>
      </c>
      <c r="B28" s="35"/>
      <c r="C28" s="36"/>
      <c r="D28" s="37"/>
      <c r="E28" s="38"/>
      <c r="F28" s="37"/>
      <c r="G28" s="37"/>
      <c r="H28" s="37"/>
      <c r="I28" s="3"/>
      <c r="J28" s="3"/>
      <c r="K28" s="3"/>
      <c r="L28" s="3"/>
      <c r="M28" s="3"/>
      <c r="N28" s="3"/>
      <c r="O28" s="3"/>
      <c r="P28" s="3"/>
      <c r="Q28" s="3"/>
      <c r="R28" s="3"/>
      <c r="S28" s="3"/>
      <c r="T28" s="3"/>
      <c r="U28" s="3"/>
      <c r="V28" s="3"/>
      <c r="W28" s="3"/>
      <c r="X28" s="3"/>
      <c r="Y28" s="3"/>
      <c r="Z28" s="3"/>
      <c r="AA28" s="3"/>
      <c r="AB28" s="3"/>
      <c r="AC28" s="3"/>
      <c r="AD28" s="3"/>
    </row>
    <row r="29" ht="15" customHeight="1" spans="1:30">
      <c r="A29" s="3">
        <v>23</v>
      </c>
      <c r="B29" s="35"/>
      <c r="C29" s="36"/>
      <c r="D29" s="37"/>
      <c r="E29" s="38"/>
      <c r="F29" s="37"/>
      <c r="G29" s="37"/>
      <c r="H29" s="37"/>
      <c r="I29" s="3"/>
      <c r="J29" s="3"/>
      <c r="K29" s="3"/>
      <c r="L29" s="3"/>
      <c r="M29" s="3"/>
      <c r="N29" s="3"/>
      <c r="O29" s="3"/>
      <c r="P29" s="3"/>
      <c r="Q29" s="3"/>
      <c r="R29" s="3"/>
      <c r="S29" s="3"/>
      <c r="T29" s="3"/>
      <c r="U29" s="3"/>
      <c r="V29" s="3"/>
      <c r="W29" s="3"/>
      <c r="X29" s="3"/>
      <c r="Y29" s="3"/>
      <c r="Z29" s="3"/>
      <c r="AA29" s="3"/>
      <c r="AB29" s="3"/>
      <c r="AC29" s="3"/>
      <c r="AD29" s="3"/>
    </row>
    <row r="30" ht="15" customHeight="1" spans="1:30">
      <c r="A30" s="3">
        <v>24</v>
      </c>
      <c r="B30" s="35"/>
      <c r="C30" s="36"/>
      <c r="D30" s="37"/>
      <c r="E30" s="38"/>
      <c r="F30" s="37"/>
      <c r="G30" s="37"/>
      <c r="H30" s="37"/>
      <c r="I30" s="3"/>
      <c r="J30" s="3"/>
      <c r="K30" s="3"/>
      <c r="L30" s="3"/>
      <c r="M30" s="3"/>
      <c r="N30" s="3"/>
      <c r="O30" s="3"/>
      <c r="P30" s="3"/>
      <c r="Q30" s="3"/>
      <c r="R30" s="3"/>
      <c r="S30" s="3"/>
      <c r="T30" s="3"/>
      <c r="U30" s="3"/>
      <c r="V30" s="3"/>
      <c r="W30" s="3"/>
      <c r="X30" s="3"/>
      <c r="Y30" s="3"/>
      <c r="Z30" s="3"/>
      <c r="AA30" s="3"/>
      <c r="AB30" s="3"/>
      <c r="AC30" s="3"/>
      <c r="AD30" s="3"/>
    </row>
    <row r="31" ht="15" customHeight="1" spans="1:30">
      <c r="A31" s="3">
        <v>25</v>
      </c>
      <c r="B31" s="35"/>
      <c r="C31" s="36"/>
      <c r="D31" s="37"/>
      <c r="E31" s="38"/>
      <c r="F31" s="37"/>
      <c r="G31" s="37"/>
      <c r="H31" s="37"/>
      <c r="I31" s="3"/>
      <c r="J31" s="3"/>
      <c r="K31" s="3"/>
      <c r="L31" s="3"/>
      <c r="M31" s="3"/>
      <c r="N31" s="3"/>
      <c r="O31" s="3"/>
      <c r="P31" s="3"/>
      <c r="Q31" s="3"/>
      <c r="R31" s="3"/>
      <c r="S31" s="3"/>
      <c r="T31" s="3"/>
      <c r="U31" s="3"/>
      <c r="V31" s="3"/>
      <c r="W31" s="3"/>
      <c r="X31" s="3"/>
      <c r="Y31" s="3"/>
      <c r="Z31" s="3"/>
      <c r="AA31" s="3"/>
      <c r="AB31" s="3"/>
      <c r="AC31" s="3"/>
      <c r="AD31" s="3"/>
    </row>
    <row r="32" ht="15" customHeight="1" spans="1:30">
      <c r="A32" s="3">
        <v>26</v>
      </c>
      <c r="B32" s="35"/>
      <c r="C32" s="36"/>
      <c r="D32" s="37"/>
      <c r="E32" s="38"/>
      <c r="F32" s="37"/>
      <c r="G32" s="37"/>
      <c r="H32" s="37"/>
      <c r="I32" s="3"/>
      <c r="J32" s="3"/>
      <c r="K32" s="3"/>
      <c r="L32" s="3"/>
      <c r="M32" s="3"/>
      <c r="N32" s="3"/>
      <c r="O32" s="3"/>
      <c r="P32" s="3"/>
      <c r="Q32" s="3"/>
      <c r="R32" s="3"/>
      <c r="S32" s="3"/>
      <c r="T32" s="3"/>
      <c r="U32" s="3"/>
      <c r="V32" s="3"/>
      <c r="W32" s="3"/>
      <c r="X32" s="3"/>
      <c r="Y32" s="3"/>
      <c r="Z32" s="3"/>
      <c r="AA32" s="3"/>
      <c r="AB32" s="3"/>
      <c r="AC32" s="3"/>
      <c r="AD32" s="3"/>
    </row>
    <row r="33" ht="15" customHeight="1" spans="1:30">
      <c r="A33" s="3">
        <v>27</v>
      </c>
      <c r="B33" s="35"/>
      <c r="C33" s="36"/>
      <c r="D33" s="37"/>
      <c r="E33" s="38"/>
      <c r="F33" s="37"/>
      <c r="G33" s="37"/>
      <c r="H33" s="37"/>
      <c r="I33" s="3"/>
      <c r="J33" s="3"/>
      <c r="K33" s="3"/>
      <c r="L33" s="3"/>
      <c r="M33" s="3"/>
      <c r="N33" s="3"/>
      <c r="O33" s="3"/>
      <c r="P33" s="3"/>
      <c r="Q33" s="3"/>
      <c r="R33" s="3"/>
      <c r="S33" s="3"/>
      <c r="T33" s="3"/>
      <c r="U33" s="3"/>
      <c r="V33" s="3"/>
      <c r="W33" s="3"/>
      <c r="X33" s="3"/>
      <c r="Y33" s="3"/>
      <c r="Z33" s="3"/>
      <c r="AA33" s="3"/>
      <c r="AB33" s="3"/>
      <c r="AC33" s="3"/>
      <c r="AD33" s="3"/>
    </row>
    <row r="34" ht="15" customHeight="1" spans="1:30">
      <c r="A34" s="3">
        <v>28</v>
      </c>
      <c r="B34" s="35"/>
      <c r="C34" s="36"/>
      <c r="D34" s="37"/>
      <c r="E34" s="38"/>
      <c r="F34" s="37"/>
      <c r="G34" s="37"/>
      <c r="H34" s="37"/>
      <c r="I34" s="3"/>
      <c r="J34" s="3"/>
      <c r="K34" s="3"/>
      <c r="L34" s="3"/>
      <c r="M34" s="3"/>
      <c r="N34" s="3"/>
      <c r="O34" s="3"/>
      <c r="P34" s="3"/>
      <c r="Q34" s="3"/>
      <c r="R34" s="3"/>
      <c r="S34" s="3"/>
      <c r="T34" s="3"/>
      <c r="U34" s="3"/>
      <c r="V34" s="3"/>
      <c r="W34" s="3"/>
      <c r="X34" s="3"/>
      <c r="Y34" s="3"/>
      <c r="Z34" s="3"/>
      <c r="AA34" s="3"/>
      <c r="AB34" s="3"/>
      <c r="AC34" s="3"/>
      <c r="AD34" s="3"/>
    </row>
    <row r="35" ht="15" customHeight="1" spans="1:30">
      <c r="A35" s="3">
        <v>29</v>
      </c>
      <c r="B35" s="35"/>
      <c r="C35" s="36"/>
      <c r="D35" s="37"/>
      <c r="E35" s="38"/>
      <c r="F35" s="37"/>
      <c r="G35" s="37"/>
      <c r="H35" s="37"/>
      <c r="I35" s="3"/>
      <c r="J35" s="3"/>
      <c r="K35" s="3"/>
      <c r="L35" s="3"/>
      <c r="M35" s="3"/>
      <c r="N35" s="3"/>
      <c r="O35" s="3"/>
      <c r="P35" s="3"/>
      <c r="Q35" s="3"/>
      <c r="R35" s="3"/>
      <c r="S35" s="3"/>
      <c r="T35" s="3"/>
      <c r="U35" s="3"/>
      <c r="V35" s="3"/>
      <c r="W35" s="3"/>
      <c r="X35" s="3"/>
      <c r="Y35" s="3"/>
      <c r="Z35" s="3"/>
      <c r="AA35" s="3"/>
      <c r="AB35" s="3"/>
      <c r="AC35" s="3"/>
      <c r="AD35" s="3"/>
    </row>
    <row r="36" ht="15" customHeight="1" spans="1:30">
      <c r="A36" s="3">
        <v>30</v>
      </c>
      <c r="B36" s="35"/>
      <c r="C36" s="36"/>
      <c r="D36" s="37"/>
      <c r="E36" s="38"/>
      <c r="F36" s="37"/>
      <c r="G36" s="37"/>
      <c r="H36" s="37"/>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dataValidations count="1">
    <dataValidation type="list" sqref="G7:G36">
      <formula1>"No,Yes,N/A"</formula1>
    </dataValidation>
  </dataValidations>
  <pageMargins left="0.7" right="0.7" top="0.75" bottom="0.75"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tabSelected="1" workbookViewId="0">
      <pane xSplit="1" ySplit="10" topLeftCell="B11" activePane="bottomRight" state="frozen"/>
      <selection/>
      <selection pane="topRight"/>
      <selection pane="bottomLeft"/>
      <selection pane="bottomRight" activeCell="A1" sqref="A1:L1"/>
    </sheetView>
  </sheetViews>
  <sheetFormatPr defaultColWidth="8.68181818181818" defaultRowHeight="14.5"/>
  <cols>
    <col min="1" max="1" width="17.6363636363636" style="1" customWidth="1"/>
    <col min="2" max="2" width="22" style="1" customWidth="1"/>
    <col min="3" max="3" width="14" style="1" customWidth="1"/>
    <col min="4" max="4" width="10" style="1" customWidth="1"/>
    <col min="5" max="5" width="20" style="1" customWidth="1"/>
    <col min="6" max="8" width="10" style="1" customWidth="1"/>
    <col min="9" max="9" width="22" style="1" customWidth="1"/>
    <col min="10" max="10" width="60" style="1" customWidth="1"/>
  </cols>
  <sheetData>
    <row r="1" ht="30" customHeight="1" spans="1:30">
      <c r="A1" s="2" t="s">
        <v>231</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232</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31" t="s">
        <v>233</v>
      </c>
      <c r="B4" s="32">
        <f>'TENDER SETUP'!B7</f>
        <v>0</v>
      </c>
      <c r="C4" s="3"/>
      <c r="D4" s="33" t="s">
        <v>234</v>
      </c>
      <c r="E4" s="33"/>
      <c r="F4" s="33"/>
      <c r="G4" s="33"/>
      <c r="H4" s="33"/>
      <c r="I4" s="33"/>
      <c r="J4" s="33"/>
      <c r="K4" s="3"/>
      <c r="L4" s="3"/>
      <c r="M4" s="3"/>
      <c r="N4" s="3"/>
      <c r="O4" s="3"/>
      <c r="P4" s="3"/>
      <c r="Q4" s="3"/>
      <c r="R4" s="3"/>
      <c r="S4" s="3"/>
      <c r="T4" s="3"/>
      <c r="U4" s="3"/>
      <c r="V4" s="3"/>
      <c r="W4" s="3"/>
      <c r="X4" s="3"/>
      <c r="Y4" s="3"/>
      <c r="Z4" s="3"/>
      <c r="AA4" s="3"/>
      <c r="AB4" s="3"/>
      <c r="AC4" s="3"/>
      <c r="AD4" s="3"/>
    </row>
    <row r="5" ht="15" customHeight="1" spans="1:30">
      <c r="A5" s="31" t="s">
        <v>235</v>
      </c>
      <c r="B5" s="32">
        <f>COUNTIF('BIDDER REGISTER'!B7:B26,"?*")</f>
        <v>0</v>
      </c>
      <c r="C5" s="3"/>
      <c r="D5" s="33"/>
      <c r="E5" s="33"/>
      <c r="F5" s="33"/>
      <c r="G5" s="33"/>
      <c r="H5" s="33"/>
      <c r="I5" s="33"/>
      <c r="J5" s="33"/>
      <c r="K5" s="3"/>
      <c r="L5" s="3"/>
      <c r="M5" s="3"/>
      <c r="N5" s="3"/>
      <c r="O5" s="3"/>
      <c r="P5" s="3"/>
      <c r="Q5" s="3"/>
      <c r="R5" s="3"/>
      <c r="S5" s="3"/>
      <c r="T5" s="3"/>
      <c r="U5" s="3"/>
      <c r="V5" s="3"/>
      <c r="W5" s="3"/>
      <c r="X5" s="3"/>
      <c r="Y5" s="3"/>
      <c r="Z5" s="3"/>
      <c r="AA5" s="3"/>
      <c r="AB5" s="3"/>
      <c r="AC5" s="3"/>
      <c r="AD5" s="3"/>
    </row>
    <row r="6" ht="15" customHeight="1" spans="1:30">
      <c r="A6" s="31" t="s">
        <v>236</v>
      </c>
      <c r="B6" s="32">
        <f>COUNTIF(RESPONSIVENESS!J7:J26,"Responsive")</f>
        <v>0</v>
      </c>
      <c r="C6" s="3"/>
      <c r="D6" s="33"/>
      <c r="E6" s="33"/>
      <c r="F6" s="33"/>
      <c r="G6" s="33"/>
      <c r="H6" s="33"/>
      <c r="I6" s="33"/>
      <c r="J6" s="33"/>
      <c r="K6" s="3"/>
      <c r="L6" s="3"/>
      <c r="M6" s="3"/>
      <c r="N6" s="3"/>
      <c r="O6" s="3"/>
      <c r="P6" s="3"/>
      <c r="Q6" s="3"/>
      <c r="R6" s="3"/>
      <c r="S6" s="3"/>
      <c r="T6" s="3"/>
      <c r="U6" s="3"/>
      <c r="V6" s="3"/>
      <c r="W6" s="3"/>
      <c r="X6" s="3"/>
      <c r="Y6" s="3"/>
      <c r="Z6" s="3"/>
      <c r="AA6" s="3"/>
      <c r="AB6" s="3"/>
      <c r="AC6" s="3"/>
      <c r="AD6" s="3"/>
    </row>
    <row r="7" ht="15" customHeight="1" spans="1:30">
      <c r="A7" s="31" t="s">
        <v>237</v>
      </c>
      <c r="B7" s="32">
        <f>COUNTIF('COMMERCIAL EVAL'!G7:G26,"Yes")</f>
        <v>0</v>
      </c>
      <c r="C7" s="3"/>
      <c r="D7" s="33"/>
      <c r="E7" s="33"/>
      <c r="F7" s="33"/>
      <c r="G7" s="33"/>
      <c r="H7" s="33"/>
      <c r="I7" s="33"/>
      <c r="J7" s="33"/>
      <c r="K7" s="3"/>
      <c r="L7" s="3"/>
      <c r="M7" s="3"/>
      <c r="N7" s="3"/>
      <c r="O7" s="3"/>
      <c r="P7" s="3"/>
      <c r="Q7" s="3"/>
      <c r="R7" s="3"/>
      <c r="S7" s="3"/>
      <c r="T7" s="3"/>
      <c r="U7" s="3"/>
      <c r="V7" s="3"/>
      <c r="W7" s="3"/>
      <c r="X7" s="3"/>
      <c r="Y7" s="3"/>
      <c r="Z7" s="3"/>
      <c r="AA7" s="3"/>
      <c r="AB7" s="3"/>
      <c r="AC7" s="3"/>
      <c r="AD7" s="3"/>
    </row>
    <row r="8" ht="15" customHeight="1" spans="1:30">
      <c r="A8" s="3"/>
      <c r="B8" s="3"/>
      <c r="C8" s="3"/>
      <c r="D8" s="3"/>
      <c r="E8" s="3"/>
      <c r="F8" s="3"/>
      <c r="G8" s="3"/>
      <c r="H8" s="3"/>
      <c r="I8" s="3"/>
      <c r="J8" s="3"/>
      <c r="K8" s="3"/>
      <c r="L8" s="3"/>
      <c r="M8" s="3"/>
      <c r="N8" s="3"/>
      <c r="O8" s="3"/>
      <c r="P8" s="3"/>
      <c r="Q8" s="3"/>
      <c r="R8" s="3"/>
      <c r="S8" s="3"/>
      <c r="T8" s="3"/>
      <c r="U8" s="3"/>
      <c r="V8" s="3"/>
      <c r="W8" s="3"/>
      <c r="X8" s="3"/>
      <c r="Y8" s="3"/>
      <c r="Z8" s="3"/>
      <c r="AA8" s="3"/>
      <c r="AB8" s="3"/>
      <c r="AC8" s="3"/>
      <c r="AD8" s="3"/>
    </row>
    <row r="9" ht="15" customHeight="1" spans="1:30">
      <c r="A9" s="3"/>
      <c r="B9" s="3"/>
      <c r="C9" s="3"/>
      <c r="D9" s="3"/>
      <c r="E9" s="3"/>
      <c r="F9" s="3"/>
      <c r="G9" s="3"/>
      <c r="H9" s="3"/>
      <c r="I9" s="3"/>
      <c r="J9" s="3"/>
      <c r="K9" s="3"/>
      <c r="L9" s="3"/>
      <c r="M9" s="3"/>
      <c r="N9" s="3"/>
      <c r="O9" s="3"/>
      <c r="P9" s="3"/>
      <c r="Q9" s="3"/>
      <c r="R9" s="3"/>
      <c r="S9" s="3"/>
      <c r="T9" s="3"/>
      <c r="U9" s="3"/>
      <c r="V9" s="3"/>
      <c r="W9" s="3"/>
      <c r="X9" s="3"/>
      <c r="Y9" s="3"/>
      <c r="Z9" s="3"/>
      <c r="AA9" s="3"/>
      <c r="AB9" s="3"/>
      <c r="AC9" s="3"/>
      <c r="AD9" s="3"/>
    </row>
    <row r="10" ht="23.25" customHeight="1" spans="1:30">
      <c r="A10" s="6" t="s">
        <v>238</v>
      </c>
      <c r="B10" s="6" t="s">
        <v>163</v>
      </c>
      <c r="C10" s="6" t="s">
        <v>239</v>
      </c>
      <c r="D10" s="6" t="s">
        <v>240</v>
      </c>
      <c r="E10" s="6" t="s">
        <v>241</v>
      </c>
      <c r="F10" s="6" t="s">
        <v>212</v>
      </c>
      <c r="G10" s="6" t="s">
        <v>221</v>
      </c>
      <c r="H10" s="6" t="s">
        <v>242</v>
      </c>
      <c r="I10" s="6" t="s">
        <v>158</v>
      </c>
      <c r="J10" s="6" t="s">
        <v>243</v>
      </c>
      <c r="K10" s="3"/>
      <c r="L10" s="3"/>
      <c r="M10" s="3"/>
      <c r="N10" s="3"/>
      <c r="O10" s="3"/>
      <c r="P10" s="3"/>
      <c r="Q10" s="3"/>
      <c r="R10" s="3"/>
      <c r="S10" s="3"/>
      <c r="T10" s="3"/>
      <c r="U10" s="3"/>
      <c r="V10" s="3"/>
      <c r="W10" s="3"/>
      <c r="X10" s="3"/>
      <c r="Y10" s="3"/>
      <c r="Z10" s="3"/>
      <c r="AA10" s="3"/>
      <c r="AB10" s="3"/>
      <c r="AC10" s="3"/>
      <c r="AD10" s="3"/>
    </row>
    <row r="11" ht="15" customHeight="1" spans="1:30">
      <c r="A11" s="3" t="str">
        <f t="shared" ref="A11:A30" si="0">IF(LEN(B11)=0,"",IF(C11&lt;&gt;"Responsive","",IFERROR(1+COUNTIF($H$11:$H$30,"&gt;"&amp;H11),"")))</f>
        <v/>
      </c>
      <c r="B11" s="3" t="str">
        <f>IF(LEN('BIDDER REGISTER'!B7)=0,"",'BIDDER REGISTER'!B7)</f>
        <v/>
      </c>
      <c r="C11" s="3" t="str">
        <f>IF(LEN(B11)=0,"",RESPONSIVENESS!J7)</f>
        <v/>
      </c>
      <c r="D11" s="21" t="str">
        <f>IF(LEN(B11)=0,"",'TECHNICAL SCORING'!I7)</f>
        <v/>
      </c>
      <c r="E11" s="34" t="str">
        <f>IF(LEN(B11)=0,"",'FINANCIAL CAPACITY'!AB7)</f>
        <v/>
      </c>
      <c r="F11" s="21" t="str">
        <f>IF(LEN(B11)=0,"",'FINANCIAL CAPACITY'!AC7)</f>
        <v/>
      </c>
      <c r="G11" s="21" t="str">
        <f>IF(LEN(B11)=0,"",'COMMERCIAL EVAL'!H7)</f>
        <v/>
      </c>
      <c r="H11" s="21" t="str">
        <f t="shared" ref="H11:H30" si="1">IF(LEN(B11)=0,"",IF(C11&lt;&gt;"Responsive",0,D11+F11+G11))</f>
        <v/>
      </c>
      <c r="I11" s="3" t="str">
        <f>IF(LEN(B11)=0,"",IF(C11&lt;&gt;"Responsive","Excluded - responsiveness",IF('TECHNICAL SCORING'!J7&lt;&gt;"Yes","Not technically qualified",IF(H11&lt;'TENDER SETUP'!$B$15,"Below overall pass mark","Evaluated"))))</f>
        <v/>
      </c>
      <c r="J11" s="9" t="str">
        <f t="shared" ref="J11:J30" si="2">IF(LEN(B11)=0,"",IF(I11="Below overall pass mark","Do not recommend award under current scoring; below the stated overall pass mark.",IF(I11&lt;&gt;"Evaluated","Do not proceed unless rules allow correction/clarification.",IF(A11=1,IF(OR(E11="High Risk",E11="Stretched",E11="No Data",E11="Incomplete"),"Highest ranked, but financial capacity is "&amp;E11&amp;" — clarify or seek further evidence before recommending award.","Recommended for award/negotiation subject to approvals."),"Evaluated - not highest ranked."))))</f>
        <v/>
      </c>
      <c r="K11" s="3"/>
      <c r="L11" s="3"/>
      <c r="M11" s="3"/>
      <c r="N11" s="3"/>
      <c r="O11" s="3"/>
      <c r="P11" s="3"/>
      <c r="Q11" s="3"/>
      <c r="R11" s="3"/>
      <c r="S11" s="3"/>
      <c r="T11" s="3"/>
      <c r="U11" s="3"/>
      <c r="V11" s="3"/>
      <c r="W11" s="3"/>
      <c r="X11" s="3"/>
      <c r="Y11" s="3"/>
      <c r="Z11" s="3"/>
      <c r="AA11" s="3"/>
      <c r="AB11" s="3"/>
      <c r="AC11" s="3"/>
      <c r="AD11" s="3"/>
    </row>
    <row r="12" ht="15" customHeight="1" spans="1:30">
      <c r="A12" s="3" t="str">
        <f t="shared" si="0"/>
        <v/>
      </c>
      <c r="B12" s="3" t="str">
        <f>IF(LEN('BIDDER REGISTER'!B8)=0,"",'BIDDER REGISTER'!B8)</f>
        <v/>
      </c>
      <c r="C12" s="3" t="str">
        <f>IF(LEN(B12)=0,"",RESPONSIVENESS!J8)</f>
        <v/>
      </c>
      <c r="D12" s="21" t="str">
        <f>IF(LEN(B12)=0,"",'TECHNICAL SCORING'!I8)</f>
        <v/>
      </c>
      <c r="E12" s="34" t="str">
        <f>IF(LEN(B12)=0,"",'FINANCIAL CAPACITY'!AB8)</f>
        <v/>
      </c>
      <c r="F12" s="21" t="str">
        <f>IF(LEN(B12)=0,"",'FINANCIAL CAPACITY'!AC8)</f>
        <v/>
      </c>
      <c r="G12" s="21" t="str">
        <f>IF(LEN(B12)=0,"",'COMMERCIAL EVAL'!H8)</f>
        <v/>
      </c>
      <c r="H12" s="21" t="str">
        <f t="shared" si="1"/>
        <v/>
      </c>
      <c r="I12" s="3" t="str">
        <f>IF(LEN(B12)=0,"",IF(C12&lt;&gt;"Responsive","Excluded - responsiveness",IF('TECHNICAL SCORING'!J8&lt;&gt;"Yes","Not technically qualified",IF(H12&lt;'TENDER SETUP'!$B$15,"Below overall pass mark","Evaluated"))))</f>
        <v/>
      </c>
      <c r="J12" s="9" t="str">
        <f t="shared" si="2"/>
        <v/>
      </c>
      <c r="K12" s="3"/>
      <c r="L12" s="3"/>
      <c r="M12" s="3"/>
      <c r="N12" s="3"/>
      <c r="O12" s="3"/>
      <c r="P12" s="3"/>
      <c r="Q12" s="3"/>
      <c r="R12" s="3"/>
      <c r="S12" s="3"/>
      <c r="T12" s="3"/>
      <c r="U12" s="3"/>
      <c r="V12" s="3"/>
      <c r="W12" s="3"/>
      <c r="X12" s="3"/>
      <c r="Y12" s="3"/>
      <c r="Z12" s="3"/>
      <c r="AA12" s="3"/>
      <c r="AB12" s="3"/>
      <c r="AC12" s="3"/>
      <c r="AD12" s="3"/>
    </row>
    <row r="13" ht="15" customHeight="1" spans="1:30">
      <c r="A13" s="3" t="str">
        <f t="shared" si="0"/>
        <v/>
      </c>
      <c r="B13" s="3" t="str">
        <f>IF(LEN('BIDDER REGISTER'!B9)=0,"",'BIDDER REGISTER'!B9)</f>
        <v/>
      </c>
      <c r="C13" s="3" t="str">
        <f>IF(LEN(B13)=0,"",RESPONSIVENESS!J9)</f>
        <v/>
      </c>
      <c r="D13" s="21" t="str">
        <f>IF(LEN(B13)=0,"",'TECHNICAL SCORING'!I9)</f>
        <v/>
      </c>
      <c r="E13" s="34" t="str">
        <f>IF(LEN(B13)=0,"",'FINANCIAL CAPACITY'!AB9)</f>
        <v/>
      </c>
      <c r="F13" s="21" t="str">
        <f>IF(LEN(B13)=0,"",'FINANCIAL CAPACITY'!AC9)</f>
        <v/>
      </c>
      <c r="G13" s="21" t="str">
        <f>IF(LEN(B13)=0,"",'COMMERCIAL EVAL'!H9)</f>
        <v/>
      </c>
      <c r="H13" s="21" t="str">
        <f t="shared" si="1"/>
        <v/>
      </c>
      <c r="I13" s="3" t="str">
        <f>IF(LEN(B13)=0,"",IF(C13&lt;&gt;"Responsive","Excluded - responsiveness",IF('TECHNICAL SCORING'!J9&lt;&gt;"Yes","Not technically qualified",IF(H13&lt;'TENDER SETUP'!$B$15,"Below overall pass mark","Evaluated"))))</f>
        <v/>
      </c>
      <c r="J13" s="9" t="str">
        <f t="shared" si="2"/>
        <v/>
      </c>
      <c r="K13" s="3"/>
      <c r="L13" s="3"/>
      <c r="M13" s="3"/>
      <c r="N13" s="3"/>
      <c r="O13" s="3"/>
      <c r="P13" s="3"/>
      <c r="Q13" s="3"/>
      <c r="R13" s="3"/>
      <c r="S13" s="3"/>
      <c r="T13" s="3"/>
      <c r="U13" s="3"/>
      <c r="V13" s="3"/>
      <c r="W13" s="3"/>
      <c r="X13" s="3"/>
      <c r="Y13" s="3"/>
      <c r="Z13" s="3"/>
      <c r="AA13" s="3"/>
      <c r="AB13" s="3"/>
      <c r="AC13" s="3"/>
      <c r="AD13" s="3"/>
    </row>
    <row r="14" ht="15" customHeight="1" spans="1:30">
      <c r="A14" s="3" t="str">
        <f t="shared" si="0"/>
        <v/>
      </c>
      <c r="B14" s="3" t="str">
        <f>IF(LEN('BIDDER REGISTER'!B10)=0,"",'BIDDER REGISTER'!B10)</f>
        <v/>
      </c>
      <c r="C14" s="3" t="str">
        <f>IF(LEN(B14)=0,"",RESPONSIVENESS!J10)</f>
        <v/>
      </c>
      <c r="D14" s="21" t="str">
        <f>IF(LEN(B14)=0,"",'TECHNICAL SCORING'!I10)</f>
        <v/>
      </c>
      <c r="E14" s="34" t="str">
        <f>IF(LEN(B14)=0,"",'FINANCIAL CAPACITY'!AB10)</f>
        <v/>
      </c>
      <c r="F14" s="21" t="str">
        <f>IF(LEN(B14)=0,"",'FINANCIAL CAPACITY'!AC10)</f>
        <v/>
      </c>
      <c r="G14" s="21" t="str">
        <f>IF(LEN(B14)=0,"",'COMMERCIAL EVAL'!H10)</f>
        <v/>
      </c>
      <c r="H14" s="21" t="str">
        <f t="shared" si="1"/>
        <v/>
      </c>
      <c r="I14" s="3" t="str">
        <f>IF(LEN(B14)=0,"",IF(C14&lt;&gt;"Responsive","Excluded - responsiveness",IF('TECHNICAL SCORING'!J10&lt;&gt;"Yes","Not technically qualified",IF(H14&lt;'TENDER SETUP'!$B$15,"Below overall pass mark","Evaluated"))))</f>
        <v/>
      </c>
      <c r="J14" s="9" t="str">
        <f t="shared" si="2"/>
        <v/>
      </c>
      <c r="K14" s="3"/>
      <c r="L14" s="3"/>
      <c r="M14" s="3"/>
      <c r="N14" s="3"/>
      <c r="O14" s="3"/>
      <c r="P14" s="3"/>
      <c r="Q14" s="3"/>
      <c r="R14" s="3"/>
      <c r="S14" s="3"/>
      <c r="T14" s="3"/>
      <c r="U14" s="3"/>
      <c r="V14" s="3"/>
      <c r="W14" s="3"/>
      <c r="X14" s="3"/>
      <c r="Y14" s="3"/>
      <c r="Z14" s="3"/>
      <c r="AA14" s="3"/>
      <c r="AB14" s="3"/>
      <c r="AC14" s="3"/>
      <c r="AD14" s="3"/>
    </row>
    <row r="15" ht="15" customHeight="1" spans="1:30">
      <c r="A15" s="3" t="str">
        <f t="shared" si="0"/>
        <v/>
      </c>
      <c r="B15" s="3" t="str">
        <f>IF(LEN('BIDDER REGISTER'!B11)=0,"",'BIDDER REGISTER'!B11)</f>
        <v/>
      </c>
      <c r="C15" s="3" t="str">
        <f>IF(LEN(B15)=0,"",RESPONSIVENESS!J11)</f>
        <v/>
      </c>
      <c r="D15" s="21" t="str">
        <f>IF(LEN(B15)=0,"",'TECHNICAL SCORING'!I11)</f>
        <v/>
      </c>
      <c r="E15" s="34" t="str">
        <f>IF(LEN(B15)=0,"",'FINANCIAL CAPACITY'!AB11)</f>
        <v/>
      </c>
      <c r="F15" s="21" t="str">
        <f>IF(LEN(B15)=0,"",'FINANCIAL CAPACITY'!AC11)</f>
        <v/>
      </c>
      <c r="G15" s="21" t="str">
        <f>IF(LEN(B15)=0,"",'COMMERCIAL EVAL'!H11)</f>
        <v/>
      </c>
      <c r="H15" s="21" t="str">
        <f t="shared" si="1"/>
        <v/>
      </c>
      <c r="I15" s="3" t="str">
        <f>IF(LEN(B15)=0,"",IF(C15&lt;&gt;"Responsive","Excluded - responsiveness",IF('TECHNICAL SCORING'!J11&lt;&gt;"Yes","Not technically qualified",IF(H15&lt;'TENDER SETUP'!$B$15,"Below overall pass mark","Evaluated"))))</f>
        <v/>
      </c>
      <c r="J15" s="9" t="str">
        <f t="shared" si="2"/>
        <v/>
      </c>
      <c r="K15" s="3"/>
      <c r="L15" s="3"/>
      <c r="M15" s="3"/>
      <c r="N15" s="3"/>
      <c r="O15" s="3"/>
      <c r="P15" s="3"/>
      <c r="Q15" s="3"/>
      <c r="R15" s="3"/>
      <c r="S15" s="3"/>
      <c r="T15" s="3"/>
      <c r="U15" s="3"/>
      <c r="V15" s="3"/>
      <c r="W15" s="3"/>
      <c r="X15" s="3"/>
      <c r="Y15" s="3"/>
      <c r="Z15" s="3"/>
      <c r="AA15" s="3"/>
      <c r="AB15" s="3"/>
      <c r="AC15" s="3"/>
      <c r="AD15" s="3"/>
    </row>
    <row r="16" ht="15" customHeight="1" spans="1:30">
      <c r="A16" s="3" t="str">
        <f t="shared" si="0"/>
        <v/>
      </c>
      <c r="B16" s="3" t="str">
        <f>IF(LEN('BIDDER REGISTER'!B12)=0,"",'BIDDER REGISTER'!B12)</f>
        <v/>
      </c>
      <c r="C16" s="3" t="str">
        <f>IF(LEN(B16)=0,"",RESPONSIVENESS!J12)</f>
        <v/>
      </c>
      <c r="D16" s="21" t="str">
        <f>IF(LEN(B16)=0,"",'TECHNICAL SCORING'!I12)</f>
        <v/>
      </c>
      <c r="E16" s="34" t="str">
        <f>IF(LEN(B16)=0,"",'FINANCIAL CAPACITY'!AB12)</f>
        <v/>
      </c>
      <c r="F16" s="21" t="str">
        <f>IF(LEN(B16)=0,"",'FINANCIAL CAPACITY'!AC12)</f>
        <v/>
      </c>
      <c r="G16" s="21" t="str">
        <f>IF(LEN(B16)=0,"",'COMMERCIAL EVAL'!H12)</f>
        <v/>
      </c>
      <c r="H16" s="21" t="str">
        <f t="shared" si="1"/>
        <v/>
      </c>
      <c r="I16" s="3" t="str">
        <f>IF(LEN(B16)=0,"",IF(C16&lt;&gt;"Responsive","Excluded - responsiveness",IF('TECHNICAL SCORING'!J12&lt;&gt;"Yes","Not technically qualified",IF(H16&lt;'TENDER SETUP'!$B$15,"Below overall pass mark","Evaluated"))))</f>
        <v/>
      </c>
      <c r="J16" s="9" t="str">
        <f t="shared" si="2"/>
        <v/>
      </c>
      <c r="K16" s="3"/>
      <c r="L16" s="3"/>
      <c r="M16" s="3"/>
      <c r="N16" s="3"/>
      <c r="O16" s="3"/>
      <c r="P16" s="3"/>
      <c r="Q16" s="3"/>
      <c r="R16" s="3"/>
      <c r="S16" s="3"/>
      <c r="T16" s="3"/>
      <c r="U16" s="3"/>
      <c r="V16" s="3"/>
      <c r="W16" s="3"/>
      <c r="X16" s="3"/>
      <c r="Y16" s="3"/>
      <c r="Z16" s="3"/>
      <c r="AA16" s="3"/>
      <c r="AB16" s="3"/>
      <c r="AC16" s="3"/>
      <c r="AD16" s="3"/>
    </row>
    <row r="17" ht="15" customHeight="1" spans="1:30">
      <c r="A17" s="3" t="str">
        <f t="shared" si="0"/>
        <v/>
      </c>
      <c r="B17" s="3" t="str">
        <f>IF(LEN('BIDDER REGISTER'!B13)=0,"",'BIDDER REGISTER'!B13)</f>
        <v/>
      </c>
      <c r="C17" s="3" t="str">
        <f>IF(LEN(B17)=0,"",RESPONSIVENESS!J13)</f>
        <v/>
      </c>
      <c r="D17" s="21" t="str">
        <f>IF(LEN(B17)=0,"",'TECHNICAL SCORING'!I13)</f>
        <v/>
      </c>
      <c r="E17" s="34" t="str">
        <f>IF(LEN(B17)=0,"",'FINANCIAL CAPACITY'!AB13)</f>
        <v/>
      </c>
      <c r="F17" s="21" t="str">
        <f>IF(LEN(B17)=0,"",'FINANCIAL CAPACITY'!AC13)</f>
        <v/>
      </c>
      <c r="G17" s="21" t="str">
        <f>IF(LEN(B17)=0,"",'COMMERCIAL EVAL'!H13)</f>
        <v/>
      </c>
      <c r="H17" s="21" t="str">
        <f t="shared" si="1"/>
        <v/>
      </c>
      <c r="I17" s="3" t="str">
        <f>IF(LEN(B17)=0,"",IF(C17&lt;&gt;"Responsive","Excluded - responsiveness",IF('TECHNICAL SCORING'!J13&lt;&gt;"Yes","Not technically qualified",IF(H17&lt;'TENDER SETUP'!$B$15,"Below overall pass mark","Evaluated"))))</f>
        <v/>
      </c>
      <c r="J17" s="9" t="str">
        <f t="shared" si="2"/>
        <v/>
      </c>
      <c r="K17" s="3"/>
      <c r="L17" s="3"/>
      <c r="M17" s="3"/>
      <c r="N17" s="3"/>
      <c r="O17" s="3"/>
      <c r="P17" s="3"/>
      <c r="Q17" s="3"/>
      <c r="R17" s="3"/>
      <c r="S17" s="3"/>
      <c r="T17" s="3"/>
      <c r="U17" s="3"/>
      <c r="V17" s="3"/>
      <c r="W17" s="3"/>
      <c r="X17" s="3"/>
      <c r="Y17" s="3"/>
      <c r="Z17" s="3"/>
      <c r="AA17" s="3"/>
      <c r="AB17" s="3"/>
      <c r="AC17" s="3"/>
      <c r="AD17" s="3"/>
    </row>
    <row r="18" ht="15" customHeight="1" spans="1:30">
      <c r="A18" s="3" t="str">
        <f t="shared" si="0"/>
        <v/>
      </c>
      <c r="B18" s="3" t="str">
        <f>IF(LEN('BIDDER REGISTER'!B14)=0,"",'BIDDER REGISTER'!B14)</f>
        <v/>
      </c>
      <c r="C18" s="3" t="str">
        <f>IF(LEN(B18)=0,"",RESPONSIVENESS!J14)</f>
        <v/>
      </c>
      <c r="D18" s="21" t="str">
        <f>IF(LEN(B18)=0,"",'TECHNICAL SCORING'!I14)</f>
        <v/>
      </c>
      <c r="E18" s="34" t="str">
        <f>IF(LEN(B18)=0,"",'FINANCIAL CAPACITY'!AB14)</f>
        <v/>
      </c>
      <c r="F18" s="21" t="str">
        <f>IF(LEN(B18)=0,"",'FINANCIAL CAPACITY'!AC14)</f>
        <v/>
      </c>
      <c r="G18" s="21" t="str">
        <f>IF(LEN(B18)=0,"",'COMMERCIAL EVAL'!H14)</f>
        <v/>
      </c>
      <c r="H18" s="21" t="str">
        <f t="shared" si="1"/>
        <v/>
      </c>
      <c r="I18" s="3" t="str">
        <f>IF(LEN(B18)=0,"",IF(C18&lt;&gt;"Responsive","Excluded - responsiveness",IF('TECHNICAL SCORING'!J14&lt;&gt;"Yes","Not technically qualified",IF(H18&lt;'TENDER SETUP'!$B$15,"Below overall pass mark","Evaluated"))))</f>
        <v/>
      </c>
      <c r="J18" s="9" t="str">
        <f t="shared" si="2"/>
        <v/>
      </c>
      <c r="K18" s="3"/>
      <c r="L18" s="3"/>
      <c r="M18" s="3"/>
      <c r="N18" s="3"/>
      <c r="O18" s="3"/>
      <c r="P18" s="3"/>
      <c r="Q18" s="3"/>
      <c r="R18" s="3"/>
      <c r="S18" s="3"/>
      <c r="T18" s="3"/>
      <c r="U18" s="3"/>
      <c r="V18" s="3"/>
      <c r="W18" s="3"/>
      <c r="X18" s="3"/>
      <c r="Y18" s="3"/>
      <c r="Z18" s="3"/>
      <c r="AA18" s="3"/>
      <c r="AB18" s="3"/>
      <c r="AC18" s="3"/>
      <c r="AD18" s="3"/>
    </row>
    <row r="19" ht="15" customHeight="1" spans="1:30">
      <c r="A19" s="3" t="str">
        <f t="shared" si="0"/>
        <v/>
      </c>
      <c r="B19" s="3" t="str">
        <f>IF(LEN('BIDDER REGISTER'!B15)=0,"",'BIDDER REGISTER'!B15)</f>
        <v/>
      </c>
      <c r="C19" s="3" t="str">
        <f>IF(LEN(B19)=0,"",RESPONSIVENESS!J15)</f>
        <v/>
      </c>
      <c r="D19" s="21" t="str">
        <f>IF(LEN(B19)=0,"",'TECHNICAL SCORING'!I15)</f>
        <v/>
      </c>
      <c r="E19" s="34" t="str">
        <f>IF(LEN(B19)=0,"",'FINANCIAL CAPACITY'!AB15)</f>
        <v/>
      </c>
      <c r="F19" s="21" t="str">
        <f>IF(LEN(B19)=0,"",'FINANCIAL CAPACITY'!AC15)</f>
        <v/>
      </c>
      <c r="G19" s="21" t="str">
        <f>IF(LEN(B19)=0,"",'COMMERCIAL EVAL'!H15)</f>
        <v/>
      </c>
      <c r="H19" s="21" t="str">
        <f t="shared" si="1"/>
        <v/>
      </c>
      <c r="I19" s="3" t="str">
        <f>IF(LEN(B19)=0,"",IF(C19&lt;&gt;"Responsive","Excluded - responsiveness",IF('TECHNICAL SCORING'!J15&lt;&gt;"Yes","Not technically qualified",IF(H19&lt;'TENDER SETUP'!$B$15,"Below overall pass mark","Evaluated"))))</f>
        <v/>
      </c>
      <c r="J19" s="9" t="str">
        <f t="shared" si="2"/>
        <v/>
      </c>
      <c r="K19" s="3"/>
      <c r="L19" s="3"/>
      <c r="M19" s="3"/>
      <c r="N19" s="3"/>
      <c r="O19" s="3"/>
      <c r="P19" s="3"/>
      <c r="Q19" s="3"/>
      <c r="R19" s="3"/>
      <c r="S19" s="3"/>
      <c r="T19" s="3"/>
      <c r="U19" s="3"/>
      <c r="V19" s="3"/>
      <c r="W19" s="3"/>
      <c r="X19" s="3"/>
      <c r="Y19" s="3"/>
      <c r="Z19" s="3"/>
      <c r="AA19" s="3"/>
      <c r="AB19" s="3"/>
      <c r="AC19" s="3"/>
      <c r="AD19" s="3"/>
    </row>
    <row r="20" ht="15" customHeight="1" spans="1:30">
      <c r="A20" s="3" t="str">
        <f t="shared" si="0"/>
        <v/>
      </c>
      <c r="B20" s="3" t="str">
        <f>IF(LEN('BIDDER REGISTER'!B16)=0,"",'BIDDER REGISTER'!B16)</f>
        <v/>
      </c>
      <c r="C20" s="3" t="str">
        <f>IF(LEN(B20)=0,"",RESPONSIVENESS!J16)</f>
        <v/>
      </c>
      <c r="D20" s="21" t="str">
        <f>IF(LEN(B20)=0,"",'TECHNICAL SCORING'!I16)</f>
        <v/>
      </c>
      <c r="E20" s="34" t="str">
        <f>IF(LEN(B20)=0,"",'FINANCIAL CAPACITY'!AB16)</f>
        <v/>
      </c>
      <c r="F20" s="21" t="str">
        <f>IF(LEN(B20)=0,"",'FINANCIAL CAPACITY'!AC16)</f>
        <v/>
      </c>
      <c r="G20" s="21" t="str">
        <f>IF(LEN(B20)=0,"",'COMMERCIAL EVAL'!H16)</f>
        <v/>
      </c>
      <c r="H20" s="21" t="str">
        <f t="shared" si="1"/>
        <v/>
      </c>
      <c r="I20" s="3" t="str">
        <f>IF(LEN(B20)=0,"",IF(C20&lt;&gt;"Responsive","Excluded - responsiveness",IF('TECHNICAL SCORING'!J16&lt;&gt;"Yes","Not technically qualified",IF(H20&lt;'TENDER SETUP'!$B$15,"Below overall pass mark","Evaluated"))))</f>
        <v/>
      </c>
      <c r="J20" s="9" t="str">
        <f t="shared" si="2"/>
        <v/>
      </c>
      <c r="K20" s="3"/>
      <c r="L20" s="3"/>
      <c r="M20" s="3"/>
      <c r="N20" s="3"/>
      <c r="O20" s="3"/>
      <c r="P20" s="3"/>
      <c r="Q20" s="3"/>
      <c r="R20" s="3"/>
      <c r="S20" s="3"/>
      <c r="T20" s="3"/>
      <c r="U20" s="3"/>
      <c r="V20" s="3"/>
      <c r="W20" s="3"/>
      <c r="X20" s="3"/>
      <c r="Y20" s="3"/>
      <c r="Z20" s="3"/>
      <c r="AA20" s="3"/>
      <c r="AB20" s="3"/>
      <c r="AC20" s="3"/>
      <c r="AD20" s="3"/>
    </row>
    <row r="21" ht="15" customHeight="1" spans="1:30">
      <c r="A21" s="3" t="str">
        <f t="shared" si="0"/>
        <v/>
      </c>
      <c r="B21" s="3" t="str">
        <f>IF(LEN('BIDDER REGISTER'!B17)=0,"",'BIDDER REGISTER'!B17)</f>
        <v/>
      </c>
      <c r="C21" s="3" t="str">
        <f>IF(LEN(B21)=0,"",RESPONSIVENESS!J17)</f>
        <v/>
      </c>
      <c r="D21" s="21" t="str">
        <f>IF(LEN(B21)=0,"",'TECHNICAL SCORING'!I17)</f>
        <v/>
      </c>
      <c r="E21" s="34" t="str">
        <f>IF(LEN(B21)=0,"",'FINANCIAL CAPACITY'!AB17)</f>
        <v/>
      </c>
      <c r="F21" s="21" t="str">
        <f>IF(LEN(B21)=0,"",'FINANCIAL CAPACITY'!AC17)</f>
        <v/>
      </c>
      <c r="G21" s="21" t="str">
        <f>IF(LEN(B21)=0,"",'COMMERCIAL EVAL'!H17)</f>
        <v/>
      </c>
      <c r="H21" s="21" t="str">
        <f t="shared" si="1"/>
        <v/>
      </c>
      <c r="I21" s="3" t="str">
        <f>IF(LEN(B21)=0,"",IF(C21&lt;&gt;"Responsive","Excluded - responsiveness",IF('TECHNICAL SCORING'!J17&lt;&gt;"Yes","Not technically qualified",IF(H21&lt;'TENDER SETUP'!$B$15,"Below overall pass mark","Evaluated"))))</f>
        <v/>
      </c>
      <c r="J21" s="9" t="str">
        <f t="shared" si="2"/>
        <v/>
      </c>
      <c r="K21" s="3"/>
      <c r="L21" s="3"/>
      <c r="M21" s="3"/>
      <c r="N21" s="3"/>
      <c r="O21" s="3"/>
      <c r="P21" s="3"/>
      <c r="Q21" s="3"/>
      <c r="R21" s="3"/>
      <c r="S21" s="3"/>
      <c r="T21" s="3"/>
      <c r="U21" s="3"/>
      <c r="V21" s="3"/>
      <c r="W21" s="3"/>
      <c r="X21" s="3"/>
      <c r="Y21" s="3"/>
      <c r="Z21" s="3"/>
      <c r="AA21" s="3"/>
      <c r="AB21" s="3"/>
      <c r="AC21" s="3"/>
      <c r="AD21" s="3"/>
    </row>
    <row r="22" ht="15" customHeight="1" spans="1:30">
      <c r="A22" s="3" t="str">
        <f t="shared" si="0"/>
        <v/>
      </c>
      <c r="B22" s="3" t="str">
        <f>IF(LEN('BIDDER REGISTER'!B18)=0,"",'BIDDER REGISTER'!B18)</f>
        <v/>
      </c>
      <c r="C22" s="3" t="str">
        <f>IF(LEN(B22)=0,"",RESPONSIVENESS!J18)</f>
        <v/>
      </c>
      <c r="D22" s="21" t="str">
        <f>IF(LEN(B22)=0,"",'TECHNICAL SCORING'!I18)</f>
        <v/>
      </c>
      <c r="E22" s="34" t="str">
        <f>IF(LEN(B22)=0,"",'FINANCIAL CAPACITY'!AB18)</f>
        <v/>
      </c>
      <c r="F22" s="21" t="str">
        <f>IF(LEN(B22)=0,"",'FINANCIAL CAPACITY'!AC18)</f>
        <v/>
      </c>
      <c r="G22" s="21" t="str">
        <f>IF(LEN(B22)=0,"",'COMMERCIAL EVAL'!H18)</f>
        <v/>
      </c>
      <c r="H22" s="21" t="str">
        <f t="shared" si="1"/>
        <v/>
      </c>
      <c r="I22" s="3" t="str">
        <f>IF(LEN(B22)=0,"",IF(C22&lt;&gt;"Responsive","Excluded - responsiveness",IF('TECHNICAL SCORING'!J18&lt;&gt;"Yes","Not technically qualified",IF(H22&lt;'TENDER SETUP'!$B$15,"Below overall pass mark","Evaluated"))))</f>
        <v/>
      </c>
      <c r="J22" s="9" t="str">
        <f t="shared" si="2"/>
        <v/>
      </c>
      <c r="K22" s="3"/>
      <c r="L22" s="3"/>
      <c r="M22" s="3"/>
      <c r="N22" s="3"/>
      <c r="O22" s="3"/>
      <c r="P22" s="3"/>
      <c r="Q22" s="3"/>
      <c r="R22" s="3"/>
      <c r="S22" s="3"/>
      <c r="T22" s="3"/>
      <c r="U22" s="3"/>
      <c r="V22" s="3"/>
      <c r="W22" s="3"/>
      <c r="X22" s="3"/>
      <c r="Y22" s="3"/>
      <c r="Z22" s="3"/>
      <c r="AA22" s="3"/>
      <c r="AB22" s="3"/>
      <c r="AC22" s="3"/>
      <c r="AD22" s="3"/>
    </row>
    <row r="23" ht="15" customHeight="1" spans="1:30">
      <c r="A23" s="3" t="str">
        <f t="shared" si="0"/>
        <v/>
      </c>
      <c r="B23" s="3" t="str">
        <f>IF(LEN('BIDDER REGISTER'!B19)=0,"",'BIDDER REGISTER'!B19)</f>
        <v/>
      </c>
      <c r="C23" s="3" t="str">
        <f>IF(LEN(B23)=0,"",RESPONSIVENESS!J19)</f>
        <v/>
      </c>
      <c r="D23" s="21" t="str">
        <f>IF(LEN(B23)=0,"",'TECHNICAL SCORING'!I19)</f>
        <v/>
      </c>
      <c r="E23" s="34" t="str">
        <f>IF(LEN(B23)=0,"",'FINANCIAL CAPACITY'!AB19)</f>
        <v/>
      </c>
      <c r="F23" s="21" t="str">
        <f>IF(LEN(B23)=0,"",'FINANCIAL CAPACITY'!AC19)</f>
        <v/>
      </c>
      <c r="G23" s="21" t="str">
        <f>IF(LEN(B23)=0,"",'COMMERCIAL EVAL'!H19)</f>
        <v/>
      </c>
      <c r="H23" s="21" t="str">
        <f t="shared" si="1"/>
        <v/>
      </c>
      <c r="I23" s="3" t="str">
        <f>IF(LEN(B23)=0,"",IF(C23&lt;&gt;"Responsive","Excluded - responsiveness",IF('TECHNICAL SCORING'!J19&lt;&gt;"Yes","Not technically qualified",IF(H23&lt;'TENDER SETUP'!$B$15,"Below overall pass mark","Evaluated"))))</f>
        <v/>
      </c>
      <c r="J23" s="9" t="str">
        <f t="shared" si="2"/>
        <v/>
      </c>
      <c r="K23" s="3"/>
      <c r="L23" s="3"/>
      <c r="M23" s="3"/>
      <c r="N23" s="3"/>
      <c r="O23" s="3"/>
      <c r="P23" s="3"/>
      <c r="Q23" s="3"/>
      <c r="R23" s="3"/>
      <c r="S23" s="3"/>
      <c r="T23" s="3"/>
      <c r="U23" s="3"/>
      <c r="V23" s="3"/>
      <c r="W23" s="3"/>
      <c r="X23" s="3"/>
      <c r="Y23" s="3"/>
      <c r="Z23" s="3"/>
      <c r="AA23" s="3"/>
      <c r="AB23" s="3"/>
      <c r="AC23" s="3"/>
      <c r="AD23" s="3"/>
    </row>
    <row r="24" ht="15" customHeight="1" spans="1:30">
      <c r="A24" s="3" t="str">
        <f t="shared" si="0"/>
        <v/>
      </c>
      <c r="B24" s="3" t="str">
        <f>IF(LEN('BIDDER REGISTER'!B20)=0,"",'BIDDER REGISTER'!B20)</f>
        <v/>
      </c>
      <c r="C24" s="3" t="str">
        <f>IF(LEN(B24)=0,"",RESPONSIVENESS!J20)</f>
        <v/>
      </c>
      <c r="D24" s="21" t="str">
        <f>IF(LEN(B24)=0,"",'TECHNICAL SCORING'!I20)</f>
        <v/>
      </c>
      <c r="E24" s="34" t="str">
        <f>IF(LEN(B24)=0,"",'FINANCIAL CAPACITY'!AB20)</f>
        <v/>
      </c>
      <c r="F24" s="21" t="str">
        <f>IF(LEN(B24)=0,"",'FINANCIAL CAPACITY'!AC20)</f>
        <v/>
      </c>
      <c r="G24" s="21" t="str">
        <f>IF(LEN(B24)=0,"",'COMMERCIAL EVAL'!H20)</f>
        <v/>
      </c>
      <c r="H24" s="21" t="str">
        <f t="shared" si="1"/>
        <v/>
      </c>
      <c r="I24" s="3" t="str">
        <f>IF(LEN(B24)=0,"",IF(C24&lt;&gt;"Responsive","Excluded - responsiveness",IF('TECHNICAL SCORING'!J20&lt;&gt;"Yes","Not technically qualified",IF(H24&lt;'TENDER SETUP'!$B$15,"Below overall pass mark","Evaluated"))))</f>
        <v/>
      </c>
      <c r="J24" s="9" t="str">
        <f t="shared" si="2"/>
        <v/>
      </c>
      <c r="K24" s="3"/>
      <c r="L24" s="3"/>
      <c r="M24" s="3"/>
      <c r="N24" s="3"/>
      <c r="O24" s="3"/>
      <c r="P24" s="3"/>
      <c r="Q24" s="3"/>
      <c r="R24" s="3"/>
      <c r="S24" s="3"/>
      <c r="T24" s="3"/>
      <c r="U24" s="3"/>
      <c r="V24" s="3"/>
      <c r="W24" s="3"/>
      <c r="X24" s="3"/>
      <c r="Y24" s="3"/>
      <c r="Z24" s="3"/>
      <c r="AA24" s="3"/>
      <c r="AB24" s="3"/>
      <c r="AC24" s="3"/>
      <c r="AD24" s="3"/>
    </row>
    <row r="25" ht="15" customHeight="1" spans="1:30">
      <c r="A25" s="3" t="str">
        <f t="shared" si="0"/>
        <v/>
      </c>
      <c r="B25" s="3" t="str">
        <f>IF(LEN('BIDDER REGISTER'!B21)=0,"",'BIDDER REGISTER'!B21)</f>
        <v/>
      </c>
      <c r="C25" s="3" t="str">
        <f>IF(LEN(B25)=0,"",RESPONSIVENESS!J21)</f>
        <v/>
      </c>
      <c r="D25" s="21" t="str">
        <f>IF(LEN(B25)=0,"",'TECHNICAL SCORING'!I21)</f>
        <v/>
      </c>
      <c r="E25" s="34" t="str">
        <f>IF(LEN(B25)=0,"",'FINANCIAL CAPACITY'!AB21)</f>
        <v/>
      </c>
      <c r="F25" s="21" t="str">
        <f>IF(LEN(B25)=0,"",'FINANCIAL CAPACITY'!AC21)</f>
        <v/>
      </c>
      <c r="G25" s="21" t="str">
        <f>IF(LEN(B25)=0,"",'COMMERCIAL EVAL'!H21)</f>
        <v/>
      </c>
      <c r="H25" s="21" t="str">
        <f t="shared" si="1"/>
        <v/>
      </c>
      <c r="I25" s="3" t="str">
        <f>IF(LEN(B25)=0,"",IF(C25&lt;&gt;"Responsive","Excluded - responsiveness",IF('TECHNICAL SCORING'!J21&lt;&gt;"Yes","Not technically qualified",IF(H25&lt;'TENDER SETUP'!$B$15,"Below overall pass mark","Evaluated"))))</f>
        <v/>
      </c>
      <c r="J25" s="9" t="str">
        <f t="shared" si="2"/>
        <v/>
      </c>
      <c r="K25" s="3"/>
      <c r="L25" s="3"/>
      <c r="M25" s="3"/>
      <c r="N25" s="3"/>
      <c r="O25" s="3"/>
      <c r="P25" s="3"/>
      <c r="Q25" s="3"/>
      <c r="R25" s="3"/>
      <c r="S25" s="3"/>
      <c r="T25" s="3"/>
      <c r="U25" s="3"/>
      <c r="V25" s="3"/>
      <c r="W25" s="3"/>
      <c r="X25" s="3"/>
      <c r="Y25" s="3"/>
      <c r="Z25" s="3"/>
      <c r="AA25" s="3"/>
      <c r="AB25" s="3"/>
      <c r="AC25" s="3"/>
      <c r="AD25" s="3"/>
    </row>
    <row r="26" ht="15" customHeight="1" spans="1:30">
      <c r="A26" s="3" t="str">
        <f t="shared" si="0"/>
        <v/>
      </c>
      <c r="B26" s="3" t="str">
        <f>IF(LEN('BIDDER REGISTER'!B22)=0,"",'BIDDER REGISTER'!B22)</f>
        <v/>
      </c>
      <c r="C26" s="3" t="str">
        <f>IF(LEN(B26)=0,"",RESPONSIVENESS!J22)</f>
        <v/>
      </c>
      <c r="D26" s="21" t="str">
        <f>IF(LEN(B26)=0,"",'TECHNICAL SCORING'!I22)</f>
        <v/>
      </c>
      <c r="E26" s="34" t="str">
        <f>IF(LEN(B26)=0,"",'FINANCIAL CAPACITY'!AB22)</f>
        <v/>
      </c>
      <c r="F26" s="21" t="str">
        <f>IF(LEN(B26)=0,"",'FINANCIAL CAPACITY'!AC22)</f>
        <v/>
      </c>
      <c r="G26" s="21" t="str">
        <f>IF(LEN(B26)=0,"",'COMMERCIAL EVAL'!H22)</f>
        <v/>
      </c>
      <c r="H26" s="21" t="str">
        <f t="shared" si="1"/>
        <v/>
      </c>
      <c r="I26" s="3" t="str">
        <f>IF(LEN(B26)=0,"",IF(C26&lt;&gt;"Responsive","Excluded - responsiveness",IF('TECHNICAL SCORING'!J22&lt;&gt;"Yes","Not technically qualified",IF(H26&lt;'TENDER SETUP'!$B$15,"Below overall pass mark","Evaluated"))))</f>
        <v/>
      </c>
      <c r="J26" s="9" t="str">
        <f t="shared" si="2"/>
        <v/>
      </c>
      <c r="K26" s="3"/>
      <c r="L26" s="3"/>
      <c r="M26" s="3"/>
      <c r="N26" s="3"/>
      <c r="O26" s="3"/>
      <c r="P26" s="3"/>
      <c r="Q26" s="3"/>
      <c r="R26" s="3"/>
      <c r="S26" s="3"/>
      <c r="T26" s="3"/>
      <c r="U26" s="3"/>
      <c r="V26" s="3"/>
      <c r="W26" s="3"/>
      <c r="X26" s="3"/>
      <c r="Y26" s="3"/>
      <c r="Z26" s="3"/>
      <c r="AA26" s="3"/>
      <c r="AB26" s="3"/>
      <c r="AC26" s="3"/>
      <c r="AD26" s="3"/>
    </row>
    <row r="27" ht="15" customHeight="1" spans="1:30">
      <c r="A27" s="3" t="str">
        <f t="shared" si="0"/>
        <v/>
      </c>
      <c r="B27" s="3" t="str">
        <f>IF(LEN('BIDDER REGISTER'!B23)=0,"",'BIDDER REGISTER'!B23)</f>
        <v/>
      </c>
      <c r="C27" s="3" t="str">
        <f>IF(LEN(B27)=0,"",RESPONSIVENESS!J23)</f>
        <v/>
      </c>
      <c r="D27" s="21" t="str">
        <f>IF(LEN(B27)=0,"",'TECHNICAL SCORING'!I23)</f>
        <v/>
      </c>
      <c r="E27" s="34" t="str">
        <f>IF(LEN(B27)=0,"",'FINANCIAL CAPACITY'!AB23)</f>
        <v/>
      </c>
      <c r="F27" s="21" t="str">
        <f>IF(LEN(B27)=0,"",'FINANCIAL CAPACITY'!AC23)</f>
        <v/>
      </c>
      <c r="G27" s="21" t="str">
        <f>IF(LEN(B27)=0,"",'COMMERCIAL EVAL'!H23)</f>
        <v/>
      </c>
      <c r="H27" s="21" t="str">
        <f t="shared" si="1"/>
        <v/>
      </c>
      <c r="I27" s="3" t="str">
        <f>IF(LEN(B27)=0,"",IF(C27&lt;&gt;"Responsive","Excluded - responsiveness",IF('TECHNICAL SCORING'!J23&lt;&gt;"Yes","Not technically qualified",IF(H27&lt;'TENDER SETUP'!$B$15,"Below overall pass mark","Evaluated"))))</f>
        <v/>
      </c>
      <c r="J27" s="9" t="str">
        <f t="shared" si="2"/>
        <v/>
      </c>
      <c r="K27" s="3"/>
      <c r="L27" s="3"/>
      <c r="M27" s="3"/>
      <c r="N27" s="3"/>
      <c r="O27" s="3"/>
      <c r="P27" s="3"/>
      <c r="Q27" s="3"/>
      <c r="R27" s="3"/>
      <c r="S27" s="3"/>
      <c r="T27" s="3"/>
      <c r="U27" s="3"/>
      <c r="V27" s="3"/>
      <c r="W27" s="3"/>
      <c r="X27" s="3"/>
      <c r="Y27" s="3"/>
      <c r="Z27" s="3"/>
      <c r="AA27" s="3"/>
      <c r="AB27" s="3"/>
      <c r="AC27" s="3"/>
      <c r="AD27" s="3"/>
    </row>
    <row r="28" ht="15" customHeight="1" spans="1:30">
      <c r="A28" s="3" t="str">
        <f t="shared" si="0"/>
        <v/>
      </c>
      <c r="B28" s="3" t="str">
        <f>IF(LEN('BIDDER REGISTER'!B24)=0,"",'BIDDER REGISTER'!B24)</f>
        <v/>
      </c>
      <c r="C28" s="3" t="str">
        <f>IF(LEN(B28)=0,"",RESPONSIVENESS!J24)</f>
        <v/>
      </c>
      <c r="D28" s="21" t="str">
        <f>IF(LEN(B28)=0,"",'TECHNICAL SCORING'!I24)</f>
        <v/>
      </c>
      <c r="E28" s="34" t="str">
        <f>IF(LEN(B28)=0,"",'FINANCIAL CAPACITY'!AB24)</f>
        <v/>
      </c>
      <c r="F28" s="21" t="str">
        <f>IF(LEN(B28)=0,"",'FINANCIAL CAPACITY'!AC24)</f>
        <v/>
      </c>
      <c r="G28" s="21" t="str">
        <f>IF(LEN(B28)=0,"",'COMMERCIAL EVAL'!H24)</f>
        <v/>
      </c>
      <c r="H28" s="21" t="str">
        <f t="shared" si="1"/>
        <v/>
      </c>
      <c r="I28" s="3" t="str">
        <f>IF(LEN(B28)=0,"",IF(C28&lt;&gt;"Responsive","Excluded - responsiveness",IF('TECHNICAL SCORING'!J24&lt;&gt;"Yes","Not technically qualified",IF(H28&lt;'TENDER SETUP'!$B$15,"Below overall pass mark","Evaluated"))))</f>
        <v/>
      </c>
      <c r="J28" s="9" t="str">
        <f t="shared" si="2"/>
        <v/>
      </c>
      <c r="K28" s="3"/>
      <c r="L28" s="3"/>
      <c r="M28" s="3"/>
      <c r="N28" s="3"/>
      <c r="O28" s="3"/>
      <c r="P28" s="3"/>
      <c r="Q28" s="3"/>
      <c r="R28" s="3"/>
      <c r="S28" s="3"/>
      <c r="T28" s="3"/>
      <c r="U28" s="3"/>
      <c r="V28" s="3"/>
      <c r="W28" s="3"/>
      <c r="X28" s="3"/>
      <c r="Y28" s="3"/>
      <c r="Z28" s="3"/>
      <c r="AA28" s="3"/>
      <c r="AB28" s="3"/>
      <c r="AC28" s="3"/>
      <c r="AD28" s="3"/>
    </row>
    <row r="29" ht="15" customHeight="1" spans="1:30">
      <c r="A29" s="3" t="str">
        <f t="shared" si="0"/>
        <v/>
      </c>
      <c r="B29" s="3" t="str">
        <f>IF(LEN('BIDDER REGISTER'!B25)=0,"",'BIDDER REGISTER'!B25)</f>
        <v/>
      </c>
      <c r="C29" s="3" t="str">
        <f>IF(LEN(B29)=0,"",RESPONSIVENESS!J25)</f>
        <v/>
      </c>
      <c r="D29" s="21" t="str">
        <f>IF(LEN(B29)=0,"",'TECHNICAL SCORING'!I25)</f>
        <v/>
      </c>
      <c r="E29" s="34" t="str">
        <f>IF(LEN(B29)=0,"",'FINANCIAL CAPACITY'!AB25)</f>
        <v/>
      </c>
      <c r="F29" s="21" t="str">
        <f>IF(LEN(B29)=0,"",'FINANCIAL CAPACITY'!AC25)</f>
        <v/>
      </c>
      <c r="G29" s="21" t="str">
        <f>IF(LEN(B29)=0,"",'COMMERCIAL EVAL'!H25)</f>
        <v/>
      </c>
      <c r="H29" s="21" t="str">
        <f t="shared" si="1"/>
        <v/>
      </c>
      <c r="I29" s="3" t="str">
        <f>IF(LEN(B29)=0,"",IF(C29&lt;&gt;"Responsive","Excluded - responsiveness",IF('TECHNICAL SCORING'!J25&lt;&gt;"Yes","Not technically qualified",IF(H29&lt;'TENDER SETUP'!$B$15,"Below overall pass mark","Evaluated"))))</f>
        <v/>
      </c>
      <c r="J29" s="9" t="str">
        <f t="shared" si="2"/>
        <v/>
      </c>
      <c r="K29" s="3"/>
      <c r="L29" s="3"/>
      <c r="M29" s="3"/>
      <c r="N29" s="3"/>
      <c r="O29" s="3"/>
      <c r="P29" s="3"/>
      <c r="Q29" s="3"/>
      <c r="R29" s="3"/>
      <c r="S29" s="3"/>
      <c r="T29" s="3"/>
      <c r="U29" s="3"/>
      <c r="V29" s="3"/>
      <c r="W29" s="3"/>
      <c r="X29" s="3"/>
      <c r="Y29" s="3"/>
      <c r="Z29" s="3"/>
      <c r="AA29" s="3"/>
      <c r="AB29" s="3"/>
      <c r="AC29" s="3"/>
      <c r="AD29" s="3"/>
    </row>
    <row r="30" ht="15" customHeight="1" spans="1:30">
      <c r="A30" s="3" t="str">
        <f t="shared" si="0"/>
        <v/>
      </c>
      <c r="B30" s="3" t="str">
        <f>IF(LEN('BIDDER REGISTER'!B26)=0,"",'BIDDER REGISTER'!B26)</f>
        <v/>
      </c>
      <c r="C30" s="3" t="str">
        <f>IF(LEN(B30)=0,"",RESPONSIVENESS!J26)</f>
        <v/>
      </c>
      <c r="D30" s="21" t="str">
        <f>IF(LEN(B30)=0,"",'TECHNICAL SCORING'!I26)</f>
        <v/>
      </c>
      <c r="E30" s="34" t="str">
        <f>IF(LEN(B30)=0,"",'FINANCIAL CAPACITY'!AB26)</f>
        <v/>
      </c>
      <c r="F30" s="21" t="str">
        <f>IF(LEN(B30)=0,"",'FINANCIAL CAPACITY'!AC26)</f>
        <v/>
      </c>
      <c r="G30" s="21" t="str">
        <f>IF(LEN(B30)=0,"",'COMMERCIAL EVAL'!H26)</f>
        <v/>
      </c>
      <c r="H30" s="21" t="str">
        <f t="shared" si="1"/>
        <v/>
      </c>
      <c r="I30" s="3" t="str">
        <f>IF(LEN(B30)=0,"",IF(C30&lt;&gt;"Responsive","Excluded - responsiveness",IF('TECHNICAL SCORING'!J26&lt;&gt;"Yes","Not technically qualified",IF(H30&lt;'TENDER SETUP'!$B$15,"Below overall pass mark","Evaluated"))))</f>
        <v/>
      </c>
      <c r="J30" s="9" t="str">
        <f t="shared" si="2"/>
        <v/>
      </c>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3">
    <mergeCell ref="A1:L1"/>
    <mergeCell ref="A2:L2"/>
    <mergeCell ref="D4:J7"/>
  </mergeCells>
  <conditionalFormatting sqref="E11:E30">
    <cfRule type="cellIs" dxfId="3" priority="7" operator="equal">
      <formula>"Strong"</formula>
    </cfRule>
    <cfRule type="cellIs" dxfId="8" priority="8" operator="equal">
      <formula>"Adequate"</formula>
    </cfRule>
    <cfRule type="cellIs" dxfId="5" priority="9" operator="equal">
      <formula>"Adequate with Caution"</formula>
    </cfRule>
    <cfRule type="cellIs" dxfId="9" priority="10" operator="equal">
      <formula>"Stretched"</formula>
    </cfRule>
    <cfRule type="cellIs" dxfId="4" priority="11" operator="equal">
      <formula>"High Risk"</formula>
    </cfRule>
  </conditionalFormatting>
  <conditionalFormatting sqref="I11:I30">
    <cfRule type="expression" dxfId="0" priority="2">
      <formula>I11="Evaluated"</formula>
    </cfRule>
    <cfRule type="expression" dxfId="1" priority="3">
      <formula>LEFT(I11,8)="Excluded"</formula>
    </cfRule>
    <cfRule type="cellIs" dxfId="3" priority="4" operator="equal">
      <formula>"Evaluated"</formula>
    </cfRule>
    <cfRule type="cellIs" dxfId="5" priority="5" operator="equal">
      <formula>"Not technically qualified"</formula>
    </cfRule>
    <cfRule type="cellIs" dxfId="4" priority="6" operator="equal">
      <formula>"Excluded - responsiveness"</formula>
    </cfRule>
  </conditionalFormatting>
  <pageMargins left="0.7" right="0.7" top="0.75" bottom="0.75"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100"/>
  <sheetViews>
    <sheetView workbookViewId="0">
      <pane ySplit="5" topLeftCell="A6" activePane="bottomLeft" state="frozen"/>
      <selection/>
      <selection pane="bottomLeft" activeCell="A1" sqref="A1:L1"/>
    </sheetView>
  </sheetViews>
  <sheetFormatPr defaultColWidth="8.68181818181818" defaultRowHeight="14.5"/>
  <cols>
    <col min="1" max="2" width="13" style="1" customWidth="1"/>
    <col min="3" max="3" width="14" style="1" customWidth="1"/>
    <col min="4" max="4" width="12" style="1" customWidth="1"/>
    <col min="5" max="5" width="20" style="1" customWidth="1"/>
    <col min="6" max="7" width="12" style="1" customWidth="1"/>
    <col min="8" max="8" width="22" style="1" customWidth="1"/>
  </cols>
  <sheetData>
    <row r="1" ht="30" customHeight="1" spans="1:30">
      <c r="A1" s="2" t="s">
        <v>244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245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25.5" customHeight="1" spans="1:30">
      <c r="A4" s="11">
        <f>'TENDER SETUP'!B7</f>
        <v>0</v>
      </c>
      <c r="B4" s="12"/>
      <c r="C4" s="12"/>
      <c r="D4" s="12"/>
      <c r="E4" s="12"/>
      <c r="F4" s="12"/>
      <c r="G4" s="12"/>
      <c r="H4" s="12"/>
      <c r="I4" s="3"/>
      <c r="J4" s="3"/>
      <c r="K4" s="3"/>
      <c r="L4" s="3"/>
      <c r="M4" s="3"/>
      <c r="N4" s="3"/>
      <c r="O4" s="3"/>
      <c r="P4" s="3"/>
      <c r="Q4" s="3"/>
      <c r="R4" s="3"/>
      <c r="S4" s="3"/>
      <c r="T4" s="3"/>
      <c r="U4" s="3"/>
      <c r="V4" s="3"/>
      <c r="W4" s="3"/>
      <c r="X4" s="3"/>
      <c r="Y4" s="3"/>
      <c r="Z4" s="3"/>
      <c r="AA4" s="3"/>
      <c r="AB4" s="3"/>
      <c r="AC4" s="3"/>
      <c r="AD4" s="3"/>
    </row>
    <row r="5" ht="15" customHeight="1" spans="1:30">
      <c r="A5" s="3"/>
      <c r="B5" s="3"/>
      <c r="C5" s="3"/>
      <c r="D5" s="3"/>
      <c r="E5" s="3"/>
      <c r="F5" s="3"/>
      <c r="G5" s="3"/>
      <c r="H5" s="3"/>
      <c r="I5" s="3"/>
      <c r="J5" s="3"/>
      <c r="K5" s="3"/>
      <c r="L5" s="3"/>
      <c r="M5" s="3"/>
      <c r="N5" s="3"/>
      <c r="O5" s="3"/>
      <c r="P5" s="3"/>
      <c r="Q5" s="3"/>
      <c r="R5" s="3"/>
      <c r="S5" s="3"/>
      <c r="T5" s="3"/>
      <c r="U5" s="3"/>
      <c r="V5" s="3"/>
      <c r="W5" s="3"/>
      <c r="X5" s="3"/>
      <c r="Y5" s="3"/>
      <c r="Z5" s="3"/>
      <c r="AA5" s="3"/>
      <c r="AB5" s="3"/>
      <c r="AC5" s="3"/>
      <c r="AD5" s="3"/>
    </row>
    <row r="6" ht="21.75" customHeight="1" spans="1:30">
      <c r="A6" s="13" t="s">
        <v>246</v>
      </c>
      <c r="B6" s="12"/>
      <c r="C6" s="12"/>
      <c r="D6" s="12"/>
      <c r="E6" s="12"/>
      <c r="F6" s="12"/>
      <c r="G6" s="12"/>
      <c r="H6" s="12"/>
      <c r="I6" s="3"/>
      <c r="J6" s="3"/>
      <c r="K6" s="3"/>
      <c r="L6" s="3"/>
      <c r="M6" s="3"/>
      <c r="N6" s="3"/>
      <c r="O6" s="3"/>
      <c r="P6" s="3"/>
      <c r="Q6" s="3"/>
      <c r="R6" s="3"/>
      <c r="S6" s="3"/>
      <c r="T6" s="3"/>
      <c r="U6" s="3"/>
      <c r="V6" s="3"/>
      <c r="W6" s="3"/>
      <c r="X6" s="3"/>
      <c r="Y6" s="3"/>
      <c r="Z6" s="3"/>
      <c r="AA6" s="3"/>
      <c r="AB6" s="3"/>
      <c r="AC6" s="3"/>
      <c r="AD6" s="3"/>
    </row>
    <row r="7" ht="60" customHeight="1" spans="1:30">
      <c r="A7" s="14" t="str">
        <f>"This report documents the evaluation process for the tender titled "&amp;'TENDER SETUP'!B7&amp;" (procurement reference "&amp;'TENDER SETUP'!B8&amp;"), issued by "&amp;'TENDER SETUP'!B5&amp;IF('TENDER SETUP'!B6=""," "," (division/unit: "&amp;'TENDER SETUP'!B6&amp;") ")&amp;"The evaluation was conducted in accordance with the criteria stated in the tender documents, the Public Procurement and Disposal of Public Property Act, 2015 (as amended), and Office of Procurement Regulation guidance."</f>
        <v>This report documents the evaluation process for the tender titled  (procurement reference ), issued by Ministry of Defence The evaluation was conducted in accordance with the criteria stated in the tender documents, the Public Procurement and Disposal of Public Property Act, 2015 (as amended), and Office of Procurement Regulation guidance.</v>
      </c>
      <c r="B7" s="14"/>
      <c r="C7" s="14"/>
      <c r="D7" s="14"/>
      <c r="E7" s="14"/>
      <c r="F7" s="14"/>
      <c r="G7" s="14"/>
      <c r="H7" s="14"/>
      <c r="I7" s="3"/>
      <c r="J7" s="3"/>
      <c r="K7" s="3"/>
      <c r="L7" s="3"/>
      <c r="M7" s="3"/>
      <c r="N7" s="3"/>
      <c r="O7" s="3"/>
      <c r="P7" s="3"/>
      <c r="Q7" s="3"/>
      <c r="R7" s="3"/>
      <c r="S7" s="3"/>
      <c r="T7" s="3"/>
      <c r="U7" s="3"/>
      <c r="V7" s="3"/>
      <c r="W7" s="3"/>
      <c r="X7" s="3"/>
      <c r="Y7" s="3"/>
      <c r="Z7" s="3"/>
      <c r="AA7" s="3"/>
      <c r="AB7" s="3"/>
      <c r="AC7" s="3"/>
      <c r="AD7" s="3"/>
    </row>
    <row r="8" ht="15" customHeight="1" spans="1:30">
      <c r="A8" s="12"/>
      <c r="B8" s="12"/>
      <c r="C8" s="12"/>
      <c r="D8" s="12"/>
      <c r="E8" s="12"/>
      <c r="F8" s="12"/>
      <c r="G8" s="12"/>
      <c r="H8" s="12"/>
      <c r="I8" s="3"/>
      <c r="J8" s="3"/>
      <c r="K8" s="3"/>
      <c r="L8" s="3"/>
      <c r="M8" s="3"/>
      <c r="N8" s="3"/>
      <c r="O8" s="3"/>
      <c r="P8" s="3"/>
      <c r="Q8" s="3"/>
      <c r="R8" s="3"/>
      <c r="S8" s="3"/>
      <c r="T8" s="3"/>
      <c r="U8" s="3"/>
      <c r="V8" s="3"/>
      <c r="W8" s="3"/>
      <c r="X8" s="3"/>
      <c r="Y8" s="3"/>
      <c r="Z8" s="3"/>
      <c r="AA8" s="3"/>
      <c r="AB8" s="3"/>
      <c r="AC8" s="3"/>
      <c r="AD8" s="3"/>
    </row>
    <row r="9" ht="15" customHeight="1" spans="1:30">
      <c r="A9" s="13" t="s">
        <v>247</v>
      </c>
      <c r="B9" s="12"/>
      <c r="C9" s="12"/>
      <c r="D9" s="12"/>
      <c r="E9" s="12"/>
      <c r="F9" s="12"/>
      <c r="G9" s="12"/>
      <c r="H9" s="12"/>
      <c r="I9" s="3"/>
      <c r="J9" s="3"/>
      <c r="K9" s="3"/>
      <c r="L9" s="3"/>
      <c r="M9" s="3"/>
      <c r="N9" s="3"/>
      <c r="O9" s="3"/>
      <c r="P9" s="3"/>
      <c r="Q9" s="3"/>
      <c r="R9" s="3"/>
      <c r="S9" s="3"/>
      <c r="T9" s="3"/>
      <c r="U9" s="3"/>
      <c r="V9" s="3"/>
      <c r="W9" s="3"/>
      <c r="X9" s="3"/>
      <c r="Y9" s="3"/>
      <c r="Z9" s="3"/>
      <c r="AA9" s="3"/>
      <c r="AB9" s="3"/>
      <c r="AC9" s="3"/>
      <c r="AD9" s="3"/>
    </row>
    <row r="10" ht="60" customHeight="1" spans="1:30">
      <c r="A10" s="14" t="str">
        <f>"Procurement method: "&amp;'TENDER SETUP'!B9&amp;". Tender type: "&amp;'TENDER SETUP'!B10&amp;IF('TENDER SETUP'!B11=""," ",". Line of business: "&amp;'TENDER SETUP'!B11)&amp;IF('TENDER SETUP'!B12="","",". Estimated value: TTD "&amp;TEXT('TENDER SETUP'!B12,"#,##0"))&amp;IF('TENDER SETUP'!B13="","",". Closing date: "&amp;TEXT('TENDER SETUP'!B13,"dd mmm yyyy"))&amp;". Overall pass mark: "&amp;'TENDER SETUP'!B15&amp;" out of 100. Minimum technical score: "&amp;'TENDER SETUP'!B16&amp;"."</f>
        <v>Procurement method: Open Tender. Tender type: Works / Refurbishment / Construction . Overall pass mark: 70 out of 100. Minimum technical score: 42.</v>
      </c>
      <c r="B10" s="14"/>
      <c r="C10" s="14"/>
      <c r="D10" s="14"/>
      <c r="E10" s="14"/>
      <c r="F10" s="14"/>
      <c r="G10" s="14"/>
      <c r="H10" s="14"/>
      <c r="I10" s="3"/>
      <c r="J10" s="3"/>
      <c r="K10" s="3"/>
      <c r="L10" s="3"/>
      <c r="M10" s="3"/>
      <c r="N10" s="3"/>
      <c r="O10" s="3"/>
      <c r="P10" s="3"/>
      <c r="Q10" s="3"/>
      <c r="R10" s="3"/>
      <c r="S10" s="3"/>
      <c r="T10" s="3"/>
      <c r="U10" s="3"/>
      <c r="V10" s="3"/>
      <c r="W10" s="3"/>
      <c r="X10" s="3"/>
      <c r="Y10" s="3"/>
      <c r="Z10" s="3"/>
      <c r="AA10" s="3"/>
      <c r="AB10" s="3"/>
      <c r="AC10" s="3"/>
      <c r="AD10" s="3"/>
    </row>
    <row r="11" ht="21.75" customHeight="1" spans="1:30">
      <c r="A11" s="15"/>
      <c r="B11" s="12"/>
      <c r="C11" s="12"/>
      <c r="D11" s="12"/>
      <c r="E11" s="12"/>
      <c r="F11" s="12"/>
      <c r="G11" s="12"/>
      <c r="H11" s="12"/>
      <c r="I11" s="3"/>
      <c r="J11" s="3"/>
      <c r="K11" s="3"/>
      <c r="L11" s="3"/>
      <c r="M11" s="3"/>
      <c r="N11" s="3"/>
      <c r="O11" s="3"/>
      <c r="P11" s="3"/>
      <c r="Q11" s="3"/>
      <c r="R11" s="3"/>
      <c r="S11" s="3"/>
      <c r="T11" s="3"/>
      <c r="U11" s="3"/>
      <c r="V11" s="3"/>
      <c r="W11" s="3"/>
      <c r="X11" s="3"/>
      <c r="Y11" s="3"/>
      <c r="Z11" s="3"/>
      <c r="AA11" s="3"/>
      <c r="AB11" s="3"/>
      <c r="AC11" s="3"/>
      <c r="AD11" s="3"/>
    </row>
    <row r="12" ht="15" customHeight="1" spans="1:30">
      <c r="A12" s="13" t="s">
        <v>248</v>
      </c>
      <c r="B12" s="12"/>
      <c r="C12" s="12"/>
      <c r="D12" s="12"/>
      <c r="E12" s="12"/>
      <c r="F12" s="12"/>
      <c r="G12" s="12"/>
      <c r="H12" s="12"/>
      <c r="I12" s="3"/>
      <c r="J12" s="3"/>
      <c r="K12" s="3"/>
      <c r="L12" s="3"/>
      <c r="M12" s="3"/>
      <c r="N12" s="3"/>
      <c r="O12" s="3"/>
      <c r="P12" s="3"/>
      <c r="Q12" s="3"/>
      <c r="R12" s="3"/>
      <c r="S12" s="3"/>
      <c r="T12" s="3"/>
      <c r="U12" s="3"/>
      <c r="V12" s="3"/>
      <c r="W12" s="3"/>
      <c r="X12" s="3"/>
      <c r="Y12" s="3"/>
      <c r="Z12" s="3"/>
      <c r="AA12" s="3"/>
      <c r="AB12" s="3"/>
      <c r="AC12" s="3"/>
      <c r="AD12" s="3"/>
    </row>
    <row r="13" ht="60" customHeight="1" spans="1:30">
      <c r="A13" s="14" t="s">
        <v>249</v>
      </c>
      <c r="B13" s="14"/>
      <c r="C13" s="14"/>
      <c r="D13" s="14"/>
      <c r="E13" s="14"/>
      <c r="F13" s="14"/>
      <c r="G13" s="14"/>
      <c r="H13" s="14"/>
      <c r="I13" s="3"/>
      <c r="J13" s="3"/>
      <c r="K13" s="3"/>
      <c r="L13" s="3"/>
      <c r="M13" s="3"/>
      <c r="N13" s="3"/>
      <c r="O13" s="3"/>
      <c r="P13" s="3"/>
      <c r="Q13" s="3"/>
      <c r="R13" s="3"/>
      <c r="S13" s="3"/>
      <c r="T13" s="3"/>
      <c r="U13" s="3"/>
      <c r="V13" s="3"/>
      <c r="W13" s="3"/>
      <c r="X13" s="3"/>
      <c r="Y13" s="3"/>
      <c r="Z13" s="3"/>
      <c r="AA13" s="3"/>
      <c r="AB13" s="3"/>
      <c r="AC13" s="3"/>
      <c r="AD13" s="3"/>
    </row>
    <row r="14" ht="15" customHeight="1" spans="1:30">
      <c r="A14" s="12"/>
      <c r="B14" s="12"/>
      <c r="C14" s="12"/>
      <c r="D14" s="12"/>
      <c r="E14" s="12"/>
      <c r="F14" s="12"/>
      <c r="G14" s="12"/>
      <c r="H14" s="12"/>
      <c r="I14" s="3"/>
      <c r="J14" s="3"/>
      <c r="K14" s="3"/>
      <c r="L14" s="3"/>
      <c r="M14" s="3"/>
      <c r="N14" s="3"/>
      <c r="O14" s="3"/>
      <c r="P14" s="3"/>
      <c r="Q14" s="3"/>
      <c r="R14" s="3"/>
      <c r="S14" s="3"/>
      <c r="T14" s="3"/>
      <c r="U14" s="3"/>
      <c r="V14" s="3"/>
      <c r="W14" s="3"/>
      <c r="X14" s="3"/>
      <c r="Y14" s="3"/>
      <c r="Z14" s="3"/>
      <c r="AA14" s="3"/>
      <c r="AB14" s="3"/>
      <c r="AC14" s="3"/>
      <c r="AD14" s="3"/>
    </row>
    <row r="15" ht="15" customHeight="1" spans="1:30">
      <c r="A15" s="13" t="s">
        <v>250</v>
      </c>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ht="60" customHeight="1" spans="1:30">
      <c r="A16" s="14" t="str">
        <f>"Of "&amp;COUNTIF('BIDDER REGISTER'!B7:B26,"?*")&amp;" bidder(s) registered, the Committee recorded "&amp;COUNTIF(RESPONSIVENESS!J7:J26,"Responsive")&amp;" responsive, "&amp;COUNTIF(RESPONSIVENESS!J7:J26,"Non-responsive")&amp;" non-responsive, and "&amp;COUNTIF(RESPONSIVENESS!J7:J26,"Incomplete")&amp;" incomplete submission(s). Non-responsive and incomplete bidders were excluded from scored evaluation. Reasons are recorded on the RESPONSIVENESS tab and summarised at Section 9 below."</f>
        <v>Of 0 bidder(s) registered, the Committee recorded 0 responsive, 0 non-responsive, and 0 incomplete submission(s). Non-responsive and incomplete bidders were excluded from scored evaluation. Reasons are recorded on the RESPONSIVENESS tab and summarised at Section 9 below.</v>
      </c>
      <c r="B16" s="14"/>
      <c r="C16" s="14"/>
      <c r="D16" s="14"/>
      <c r="E16" s="14"/>
      <c r="F16" s="14"/>
      <c r="G16" s="14"/>
      <c r="H16" s="14"/>
      <c r="I16" s="3"/>
      <c r="J16" s="3"/>
      <c r="K16" s="3"/>
      <c r="L16" s="3"/>
      <c r="M16" s="3"/>
      <c r="N16" s="3"/>
      <c r="O16" s="3"/>
      <c r="P16" s="3"/>
      <c r="Q16" s="3"/>
      <c r="R16" s="3"/>
      <c r="S16" s="3"/>
      <c r="T16" s="3"/>
      <c r="U16" s="3"/>
      <c r="V16" s="3"/>
      <c r="W16" s="3"/>
      <c r="X16" s="3"/>
      <c r="Y16" s="3"/>
      <c r="Z16" s="3"/>
      <c r="AA16" s="3"/>
      <c r="AB16" s="3"/>
      <c r="AC16" s="3"/>
      <c r="AD16" s="3"/>
    </row>
    <row r="17" ht="15" customHeight="1" spans="1:30">
      <c r="A17" s="16"/>
      <c r="B17" s="12"/>
      <c r="C17" s="12"/>
      <c r="D17" s="12"/>
      <c r="E17" s="12"/>
      <c r="F17" s="12"/>
      <c r="G17" s="12"/>
      <c r="H17" s="12"/>
      <c r="I17" s="3"/>
      <c r="J17" s="3"/>
      <c r="K17" s="3"/>
      <c r="L17" s="3"/>
      <c r="M17" s="3"/>
      <c r="N17" s="3"/>
      <c r="O17" s="3"/>
      <c r="P17" s="3"/>
      <c r="Q17" s="3"/>
      <c r="R17" s="3"/>
      <c r="S17" s="3"/>
      <c r="T17" s="3"/>
      <c r="U17" s="3"/>
      <c r="V17" s="3"/>
      <c r="W17" s="3"/>
      <c r="X17" s="3"/>
      <c r="Y17" s="3"/>
      <c r="Z17" s="3"/>
      <c r="AA17" s="3"/>
      <c r="AB17" s="3"/>
      <c r="AC17" s="3"/>
      <c r="AD17" s="3"/>
    </row>
    <row r="18" ht="15" customHeight="1" spans="1:30">
      <c r="A18" s="13" t="s">
        <v>251</v>
      </c>
      <c r="B18" s="12"/>
      <c r="C18" s="12"/>
      <c r="D18" s="12"/>
      <c r="E18" s="12"/>
      <c r="F18" s="12"/>
      <c r="G18" s="12"/>
      <c r="H18" s="12"/>
      <c r="I18" s="3"/>
      <c r="J18" s="3"/>
      <c r="K18" s="3"/>
      <c r="L18" s="3"/>
      <c r="M18" s="3"/>
      <c r="N18" s="3"/>
      <c r="O18" s="3"/>
      <c r="P18" s="3"/>
      <c r="Q18" s="3"/>
      <c r="R18" s="3"/>
      <c r="S18" s="3"/>
      <c r="T18" s="3"/>
      <c r="U18" s="3"/>
      <c r="V18" s="3"/>
      <c r="W18" s="3"/>
      <c r="X18" s="3"/>
      <c r="Y18" s="3"/>
      <c r="Z18" s="3"/>
      <c r="AA18" s="3"/>
      <c r="AB18" s="3"/>
      <c r="AC18" s="3"/>
      <c r="AD18" s="3"/>
    </row>
    <row r="19" ht="60" customHeight="1" spans="1:30">
      <c r="A19" s="14" t="str">
        <f>IF(COUNTIF('TECHNICAL SCORING'!B7:B26,"Responsive")=0,"No responsive bidders were available for technical scoring.","The Committee scored "&amp;COUNTIF('TECHNICAL SCORING'!B7:B26,"Responsive")&amp;" responsive bidder(s) across the stated technical criteria. Scored technical points available: "&amp;('CRITERIA BUILDER'!C9+'CRITERIA BUILDER'!C10+'CRITERIA BUILDER'!C11+'CRITERIA BUILDER'!C12+'CRITERIA BUILDER'!C13+'CRITERIA BUILDER'!C16)&amp;". Minimum technical threshold: "&amp;'TENDER SETUP'!B16&amp;". Bidders meeting the threshold: "&amp;COUNTIF('TECHNICAL SCORING'!J7:J26,"Yes")&amp;". Bidders below the threshold: "&amp;COUNTIF('TECHNICAL SCORING'!J7:J26,"No")&amp;". Bidders below the threshold cannot proceed to award.")</f>
        <v>No responsive bidders were available for technical scoring.</v>
      </c>
      <c r="B19" s="14"/>
      <c r="C19" s="14"/>
      <c r="D19" s="14"/>
      <c r="E19" s="14"/>
      <c r="F19" s="14"/>
      <c r="G19" s="14"/>
      <c r="H19" s="14"/>
      <c r="I19" s="3"/>
      <c r="J19" s="3"/>
      <c r="K19" s="3"/>
      <c r="L19" s="3"/>
      <c r="M19" s="3"/>
      <c r="N19" s="3"/>
      <c r="O19" s="3"/>
      <c r="P19" s="3"/>
      <c r="Q19" s="3"/>
      <c r="R19" s="3"/>
      <c r="S19" s="3"/>
      <c r="T19" s="3"/>
      <c r="U19" s="3"/>
      <c r="V19" s="3"/>
      <c r="W19" s="3"/>
      <c r="X19" s="3"/>
      <c r="Y19" s="3"/>
      <c r="Z19" s="3"/>
      <c r="AA19" s="3"/>
      <c r="AB19" s="3"/>
      <c r="AC19" s="3"/>
      <c r="AD19" s="3"/>
    </row>
    <row r="20" ht="15" customHeight="1" spans="1:3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21.75" customHeight="1" spans="1:30">
      <c r="A21" s="13" t="s">
        <v>252</v>
      </c>
      <c r="B21" s="12"/>
      <c r="C21" s="12"/>
      <c r="D21" s="12"/>
      <c r="E21" s="12"/>
      <c r="F21" s="12"/>
      <c r="G21" s="12"/>
      <c r="H21" s="12"/>
      <c r="I21" s="3"/>
      <c r="J21" s="3"/>
      <c r="K21" s="3"/>
      <c r="L21" s="3"/>
      <c r="M21" s="3"/>
      <c r="N21" s="3"/>
      <c r="O21" s="3"/>
      <c r="P21" s="3"/>
      <c r="Q21" s="3"/>
      <c r="R21" s="3"/>
      <c r="S21" s="3"/>
      <c r="T21" s="3"/>
      <c r="U21" s="3"/>
      <c r="V21" s="3"/>
      <c r="W21" s="3"/>
      <c r="X21" s="3"/>
      <c r="Y21" s="3"/>
      <c r="Z21" s="3"/>
      <c r="AA21" s="3"/>
      <c r="AB21" s="3"/>
      <c r="AC21" s="3"/>
      <c r="AD21" s="3"/>
    </row>
    <row r="22" ht="60" customHeight="1" spans="1:30">
      <c r="A22" s="14" t="str">
        <f>IF(COUNTIF('BIDDER REGISTER'!B7:B26,"?*")=0,"No financial capacity records were entered.","Financial capacity was screened for "&amp;COUNTIF('BIDDER REGISTER'!B7:B26,"?*")&amp;" bidder(s). Outcomes: Strong "&amp;COUNTIF('FINANCIAL CAPACITY'!AB7:AB26,"Strong")&amp;"; Adequate "&amp;COUNTIF('FINANCIAL CAPACITY'!AB7:AB26,"Adequate")&amp;"; Adequate with Caution "&amp;COUNTIF('FINANCIAL CAPACITY'!AB7:AB26,"Adequate with Caution")&amp;"; Stretched "&amp;COUNTIF('FINANCIAL CAPACITY'!AB7:AB26,"Stretched")&amp;"; High Risk "&amp;COUNTIF('FINANCIAL CAPACITY'!AB7:AB26,"High Risk")&amp;"; No Data or Incomplete "&amp;(COUNTIF('FINANCIAL CAPACITY'!AB7:AB26,"No Data")+COUNTIF('FINANCIAL CAPACITY'!AB7:AB26,"Incomplete"))&amp;". Bidders rated Stretched, High Risk, No Data or Incomplete require Committee clarification before award. Full ratios and per-bidder notes appear on the FINANCIAL CAPACITY tab.")</f>
        <v>No financial capacity records were entered.</v>
      </c>
      <c r="B22" s="14"/>
      <c r="C22" s="14"/>
      <c r="D22" s="14"/>
      <c r="E22" s="14"/>
      <c r="F22" s="14"/>
      <c r="G22" s="14"/>
      <c r="H22" s="14"/>
      <c r="I22" s="3"/>
      <c r="J22" s="3"/>
      <c r="K22" s="3"/>
      <c r="L22" s="3"/>
      <c r="M22" s="3"/>
      <c r="N22" s="3"/>
      <c r="O22" s="3"/>
      <c r="P22" s="3"/>
      <c r="Q22" s="3"/>
      <c r="R22" s="3"/>
      <c r="S22" s="3"/>
      <c r="T22" s="3"/>
      <c r="U22" s="3"/>
      <c r="V22" s="3"/>
      <c r="W22" s="3"/>
      <c r="X22" s="3"/>
      <c r="Y22" s="3"/>
      <c r="Z22" s="3"/>
      <c r="AA22" s="3"/>
      <c r="AB22" s="3"/>
      <c r="AC22" s="3"/>
      <c r="AD22" s="3"/>
    </row>
    <row r="23" ht="15" customHeight="1" spans="1:30">
      <c r="A23" s="12"/>
      <c r="B23" s="12"/>
      <c r="C23" s="12"/>
      <c r="D23" s="12"/>
      <c r="E23" s="12"/>
      <c r="F23" s="12"/>
      <c r="G23" s="12"/>
      <c r="H23" s="12"/>
      <c r="I23" s="3"/>
      <c r="J23" s="3"/>
      <c r="K23" s="3"/>
      <c r="L23" s="3"/>
      <c r="M23" s="3"/>
      <c r="N23" s="3"/>
      <c r="O23" s="3"/>
      <c r="P23" s="3"/>
      <c r="Q23" s="3"/>
      <c r="R23" s="3"/>
      <c r="S23" s="3"/>
      <c r="T23" s="3"/>
      <c r="U23" s="3"/>
      <c r="V23" s="3"/>
      <c r="W23" s="3"/>
      <c r="X23" s="3"/>
      <c r="Y23" s="3"/>
      <c r="Z23" s="3"/>
      <c r="AA23" s="3"/>
      <c r="AB23" s="3"/>
      <c r="AC23" s="3"/>
      <c r="AD23" s="3"/>
    </row>
    <row r="24" ht="15" customHeight="1" spans="1:30">
      <c r="A24" s="13" t="s">
        <v>253</v>
      </c>
      <c r="B24" s="12"/>
      <c r="C24" s="12"/>
      <c r="D24" s="12"/>
      <c r="E24" s="12"/>
      <c r="F24" s="12"/>
      <c r="G24" s="12"/>
      <c r="H24" s="12"/>
      <c r="I24" s="3"/>
      <c r="J24" s="3"/>
      <c r="K24" s="3"/>
      <c r="L24" s="3"/>
      <c r="M24" s="3"/>
      <c r="N24" s="3"/>
      <c r="O24" s="3"/>
      <c r="P24" s="3"/>
      <c r="Q24" s="3"/>
      <c r="R24" s="3"/>
      <c r="S24" s="3"/>
      <c r="T24" s="3"/>
      <c r="U24" s="3"/>
      <c r="V24" s="3"/>
      <c r="W24" s="3"/>
      <c r="X24" s="3"/>
      <c r="Y24" s="3"/>
      <c r="Z24" s="3"/>
      <c r="AA24" s="3"/>
      <c r="AB24" s="3"/>
      <c r="AC24" s="3"/>
      <c r="AD24" s="3"/>
    </row>
    <row r="25" ht="60" customHeight="1" spans="1:30">
      <c r="A25" s="14" t="str">
        <f>IF(COUNTIF('COMMERCIAL EVAL'!G7:G26,"Yes")=0,"No bidders were eligible for price scoring. Price scoring applies only to bidders that pass responsiveness and meet the minimum technical threshold.","Price scoring was applied to "&amp;COUNTIF('COMMERCIAL EVAL'!G7:G26,"Yes")&amp;" eligible bidder(s). Lowest evaluated responsive price (incl VAT): TTD "&amp;TEXT(MIN('COMMERCIAL EVAL'!J7:J26),"#,##0")&amp;". Highest evaluated responsive price: TTD "&amp;TEXT(MAX('COMMERCIAL EVAL'!J7:J26),"#,##0")&amp;". Price formula applied: "&amp;'TENDER SETUP'!B17&amp;". Individual price scores appear on the COMMERCIAL EVAL tab.")</f>
        <v>No bidders were eligible for price scoring. Price scoring applies only to bidders that pass responsiveness and meet the minimum technical threshold.</v>
      </c>
      <c r="B25" s="14"/>
      <c r="C25" s="14"/>
      <c r="D25" s="14"/>
      <c r="E25" s="14"/>
      <c r="F25" s="14"/>
      <c r="G25" s="14"/>
      <c r="H25" s="14"/>
      <c r="I25" s="3"/>
      <c r="J25" s="3"/>
      <c r="K25" s="3"/>
      <c r="L25" s="3"/>
      <c r="M25" s="3"/>
      <c r="N25" s="3"/>
      <c r="O25" s="3"/>
      <c r="P25" s="3"/>
      <c r="Q25" s="3"/>
      <c r="R25" s="3"/>
      <c r="S25" s="3"/>
      <c r="T25" s="3"/>
      <c r="U25" s="3"/>
      <c r="V25" s="3"/>
      <c r="W25" s="3"/>
      <c r="X25" s="3"/>
      <c r="Y25" s="3"/>
      <c r="Z25" s="3"/>
      <c r="AA25" s="3"/>
      <c r="AB25" s="3"/>
      <c r="AC25" s="3"/>
      <c r="AD25" s="3"/>
    </row>
    <row r="26" ht="21.75" customHeight="1" spans="1:30">
      <c r="A26" s="15"/>
      <c r="B26" s="12"/>
      <c r="C26" s="12"/>
      <c r="D26" s="12"/>
      <c r="E26" s="12"/>
      <c r="F26" s="12"/>
      <c r="G26" s="12"/>
      <c r="H26" s="12"/>
      <c r="I26" s="3"/>
      <c r="J26" s="3"/>
      <c r="K26" s="3"/>
      <c r="L26" s="3"/>
      <c r="M26" s="3"/>
      <c r="N26" s="3"/>
      <c r="O26" s="3"/>
      <c r="P26" s="3"/>
      <c r="Q26" s="3"/>
      <c r="R26" s="3"/>
      <c r="S26" s="3"/>
      <c r="T26" s="3"/>
      <c r="U26" s="3"/>
      <c r="V26" s="3"/>
      <c r="W26" s="3"/>
      <c r="X26" s="3"/>
      <c r="Y26" s="3"/>
      <c r="Z26" s="3"/>
      <c r="AA26" s="3"/>
      <c r="AB26" s="3"/>
      <c r="AC26" s="3"/>
      <c r="AD26" s="3"/>
    </row>
    <row r="27" ht="15" customHeight="1" spans="1:30">
      <c r="A27" s="13" t="s">
        <v>254</v>
      </c>
      <c r="B27" s="12"/>
      <c r="C27" s="12"/>
      <c r="D27" s="12"/>
      <c r="E27" s="12"/>
      <c r="F27" s="12"/>
      <c r="G27" s="12"/>
      <c r="H27" s="12"/>
      <c r="I27" s="3"/>
      <c r="J27" s="3"/>
      <c r="K27" s="3"/>
      <c r="L27" s="3"/>
      <c r="M27" s="3"/>
      <c r="N27" s="3"/>
      <c r="O27" s="3"/>
      <c r="P27" s="3"/>
      <c r="Q27" s="3"/>
      <c r="R27" s="3"/>
      <c r="S27" s="3"/>
      <c r="T27" s="3"/>
      <c r="U27" s="3"/>
      <c r="V27" s="3"/>
      <c r="W27" s="3"/>
      <c r="X27" s="3"/>
      <c r="Y27" s="3"/>
      <c r="Z27" s="3"/>
      <c r="AA27" s="3"/>
      <c r="AB27" s="3"/>
      <c r="AC27" s="3"/>
      <c r="AD27" s="3"/>
    </row>
    <row r="28" ht="60" customHeight="1" spans="1:30">
      <c r="A28" s="17" t="s">
        <v>255</v>
      </c>
      <c r="B28" s="17"/>
      <c r="C28" s="17"/>
      <c r="D28" s="17"/>
      <c r="E28" s="17"/>
      <c r="F28" s="17"/>
      <c r="G28" s="17"/>
      <c r="H28" s="17"/>
      <c r="I28" s="3"/>
      <c r="J28" s="3"/>
      <c r="K28" s="3"/>
      <c r="L28" s="3"/>
      <c r="M28" s="3"/>
      <c r="N28" s="3"/>
      <c r="O28" s="3"/>
      <c r="P28" s="3"/>
      <c r="Q28" s="3"/>
      <c r="R28" s="3"/>
      <c r="S28" s="3"/>
      <c r="T28" s="3"/>
      <c r="U28" s="3"/>
      <c r="V28" s="3"/>
      <c r="W28" s="3"/>
      <c r="X28" s="3"/>
      <c r="Y28" s="3"/>
      <c r="Z28" s="3"/>
      <c r="AA28" s="3"/>
      <c r="AB28" s="3"/>
      <c r="AC28" s="3"/>
      <c r="AD28" s="3"/>
    </row>
    <row r="29" ht="69.75" customHeight="1" spans="1:30">
      <c r="A29" s="14" t="str">
        <f>IF(LEN('BIDDER REGISTER'!B7)=0,"","• "&amp;'BIDDER REGISTER'!B7&amp;" — "&amp;IF(RESPONSIVENESS!J7="Non-responsive","Non-responsive to mandatory requirements. Excluded from scored evaluation.",IF(RESPONSIVENESS!J7="Incomplete","Responsiveness assessment incomplete. Not evaluated for scoring until mandatory checks are completed.",IF(RESPONSIVENESS!J7="Responsive","Responsive to mandatory requirements. "&amp;"Technical score: "&amp;IF(ISNUMBER('TECHNICAL SCORING'!I7),'TECHNICAL SCORING'!I7,0)&amp;" of "&amp;('CRITERIA BUILDER'!C9+'CRITERIA BUILDER'!C10+'CRITERIA BUILDER'!C11+'CRITERIA BUILDER'!C12+'CRITERIA BUILDER'!C13+'CRITERIA BUILDER'!C16)&amp;IF('TECHNICAL SCORING'!J7="Yes"," (meets minimum threshold). ",IF('TECHNICAL SCORING'!J7="No"," (below minimum threshold — cannot proceed to award). ",". "))&amp;"Financial capacity screened as "&amp;'FINANCIAL CAPACITY'!AB7&amp;IF('FINANCIAL CAPACITY'!AB7="High Risk",". Committee should request clarification on the bidder's financial position, including any negative equity, accumulated losses, or debt service concerns, before proceeding. ",IF('FINANCIAL CAPACITY'!AB7="Stretched",". Financial position is tight; Committee should record specific concerns. ",IF('FINANCIAL CAPACITY'!AB7="No Data",". No financial statements or figures were entered. Committee should request evidence of financial capacity before proceeding. ",IF('FINANCIAL CAPACITY'!AB7="Incomplete",". Financial submission is incomplete. Committee should request the missing figures. ",". "))))&amp;IF(AND(ISNUMBER('COMMERCIAL EVAL'!F7),'COMMERCIAL EVAL'!F7&gt;0),"Evaluated price (incl VAT): TTD "&amp;TEXT('COMMERCIAL EVAL'!F7,"#,##0")&amp;". Price score: "&amp;TEXT(IF(ISNUMBER('COMMERCIAL EVAL'!H7),'COMMERCIAL EVAL'!H7,0),"0.00")&amp;" of "&amp;'CRITERIA BUILDER'!C15&amp;". ","Price not evaluated. ")&amp;"Total: "&amp;TEXT(IF(ISNUMBER(DASHBOARD!H11),DASHBOARD!H11,0),"0.00")&amp;" of 100. "&amp;IF(ISNUMBER(DASHBOARD!A11),"Rank: "&amp;DASHBOARD!A11&amp;". ","")&amp;"Status: "&amp;DASHBOARD!I11&amp;"."&amp;IF('TECHNICAL SCORING'!K7=""," [Committee to record specific evidence for manual technical scores.]"," Evaluator note: "&amp;'TECHNICAL SCORING'!K7),"Responsiveness not yet recorded."))))</f>
        <v/>
      </c>
      <c r="B29" s="14"/>
      <c r="C29" s="14"/>
      <c r="D29" s="14"/>
      <c r="E29" s="14"/>
      <c r="F29" s="14"/>
      <c r="G29" s="14"/>
      <c r="H29" s="14"/>
      <c r="I29" s="3"/>
      <c r="J29" s="3"/>
      <c r="K29" s="3"/>
      <c r="L29" s="3"/>
      <c r="M29" s="3"/>
      <c r="N29" s="3"/>
      <c r="O29" s="3"/>
      <c r="P29" s="3"/>
      <c r="Q29" s="3"/>
      <c r="R29" s="3"/>
      <c r="S29" s="3"/>
      <c r="T29" s="3"/>
      <c r="U29" s="3"/>
      <c r="V29" s="3"/>
      <c r="W29" s="3"/>
      <c r="X29" s="3"/>
      <c r="Y29" s="3"/>
      <c r="Z29" s="3"/>
      <c r="AA29" s="3"/>
      <c r="AB29" s="3"/>
      <c r="AC29" s="3"/>
      <c r="AD29" s="3"/>
    </row>
    <row r="30" ht="69.75" customHeight="1" spans="1:30">
      <c r="A30" s="14" t="str">
        <f>IF(LEN('BIDDER REGISTER'!B8)=0,"","• "&amp;'BIDDER REGISTER'!B8&amp;" — "&amp;IF(RESPONSIVENESS!J8="Non-responsive","Non-responsive to mandatory requirements. Excluded from scored evaluation.",IF(RESPONSIVENESS!J8="Incomplete","Responsiveness assessment incomplete. Not evaluated for scoring until mandatory checks are completed.",IF(RESPONSIVENESS!J8="Responsive","Responsive to mandatory requirements. "&amp;"Technical score: "&amp;IF(ISNUMBER('TECHNICAL SCORING'!I8),'TECHNICAL SCORING'!I8,0)&amp;" of "&amp;('CRITERIA BUILDER'!C9+'CRITERIA BUILDER'!C10+'CRITERIA BUILDER'!C11+'CRITERIA BUILDER'!C12+'CRITERIA BUILDER'!C13+'CRITERIA BUILDER'!C16)&amp;IF('TECHNICAL SCORING'!J8="Yes"," (meets minimum threshold). ",IF('TECHNICAL SCORING'!J8="No"," (below minimum threshold — cannot proceed to award). ",". "))&amp;"Financial capacity screened as "&amp;'FINANCIAL CAPACITY'!AB8&amp;IF('FINANCIAL CAPACITY'!AB8="High Risk",". Committee should request clarification on the bidder's financial position, including any negative equity, accumulated losses, or debt service concerns, before proceeding. ",IF('FINANCIAL CAPACITY'!AB8="Stretched",". Financial position is tight; Committee should record specific concerns. ",IF('FINANCIAL CAPACITY'!AB8="No Data",". No financial statements or figures were entered. Committee should request evidence of financial capacity before proceeding. ",IF('FINANCIAL CAPACITY'!AB8="Incomplete",". Financial submission is incomplete. Committee should request the missing figures. ",". "))))&amp;IF(AND(ISNUMBER('COMMERCIAL EVAL'!F8),'COMMERCIAL EVAL'!F8&gt;0),"Evaluated price (incl VAT): TTD "&amp;TEXT('COMMERCIAL EVAL'!F8,"#,##0")&amp;". Price score: "&amp;TEXT(IF(ISNUMBER('COMMERCIAL EVAL'!H8),'COMMERCIAL EVAL'!H8,0),"0.00")&amp;" of "&amp;'CRITERIA BUILDER'!C15&amp;". ","Price not evaluated. ")&amp;"Total: "&amp;TEXT(IF(ISNUMBER(DASHBOARD!H12),DASHBOARD!H12,0),"0.00")&amp;" of 100. "&amp;IF(ISNUMBER(DASHBOARD!A12),"Rank: "&amp;DASHBOARD!A12&amp;". ","")&amp;"Status: "&amp;DASHBOARD!I12&amp;"."&amp;IF('TECHNICAL SCORING'!K8=""," [Committee to record specific evidence for manual technical scores.]"," Evaluator note: "&amp;'TECHNICAL SCORING'!K8),"Responsiveness not yet recorded."))))</f>
        <v/>
      </c>
      <c r="B30" s="14"/>
      <c r="C30" s="14"/>
      <c r="D30" s="14"/>
      <c r="E30" s="14"/>
      <c r="F30" s="14"/>
      <c r="G30" s="14"/>
      <c r="H30" s="14"/>
      <c r="I30" s="3"/>
      <c r="J30" s="3"/>
      <c r="K30" s="3"/>
      <c r="L30" s="3"/>
      <c r="M30" s="3"/>
      <c r="N30" s="3"/>
      <c r="O30" s="3"/>
      <c r="P30" s="3"/>
      <c r="Q30" s="3"/>
      <c r="R30" s="3"/>
      <c r="S30" s="3"/>
      <c r="T30" s="3"/>
      <c r="U30" s="3"/>
      <c r="V30" s="3"/>
      <c r="W30" s="3"/>
      <c r="X30" s="3"/>
      <c r="Y30" s="3"/>
      <c r="Z30" s="3"/>
      <c r="AA30" s="3"/>
      <c r="AB30" s="3"/>
      <c r="AC30" s="3"/>
      <c r="AD30" s="3"/>
    </row>
    <row r="31" ht="69.75" customHeight="1" spans="1:30">
      <c r="A31" s="14" t="str">
        <f>IF(LEN('BIDDER REGISTER'!B9)=0,"","• "&amp;'BIDDER REGISTER'!B9&amp;" — "&amp;IF(RESPONSIVENESS!J9="Non-responsive","Non-responsive to mandatory requirements. Excluded from scored evaluation.",IF(RESPONSIVENESS!J9="Incomplete","Responsiveness assessment incomplete. Not evaluated for scoring until mandatory checks are completed.",IF(RESPONSIVENESS!J9="Responsive","Responsive to mandatory requirements. "&amp;"Technical score: "&amp;IF(ISNUMBER('TECHNICAL SCORING'!I9),'TECHNICAL SCORING'!I9,0)&amp;" of "&amp;('CRITERIA BUILDER'!C9+'CRITERIA BUILDER'!C10+'CRITERIA BUILDER'!C11+'CRITERIA BUILDER'!C12+'CRITERIA BUILDER'!C13+'CRITERIA BUILDER'!C16)&amp;IF('TECHNICAL SCORING'!J9="Yes"," (meets minimum threshold). ",IF('TECHNICAL SCORING'!J9="No"," (below minimum threshold — cannot proceed to award). ",". "))&amp;"Financial capacity screened as "&amp;'FINANCIAL CAPACITY'!AB9&amp;IF('FINANCIAL CAPACITY'!AB9="High Risk",". Committee should request clarification on the bidder's financial position, including any negative equity, accumulated losses, or debt service concerns, before proceeding. ",IF('FINANCIAL CAPACITY'!AB9="Stretched",". Financial position is tight; Committee should record specific concerns. ",IF('FINANCIAL CAPACITY'!AB9="No Data",". No financial statements or figures were entered. Committee should request evidence of financial capacity before proceeding. ",IF('FINANCIAL CAPACITY'!AB9="Incomplete",". Financial submission is incomplete. Committee should request the missing figures. ",". "))))&amp;IF(AND(ISNUMBER('COMMERCIAL EVAL'!F9),'COMMERCIAL EVAL'!F9&gt;0),"Evaluated price (incl VAT): TTD "&amp;TEXT('COMMERCIAL EVAL'!F9,"#,##0")&amp;". Price score: "&amp;TEXT(IF(ISNUMBER('COMMERCIAL EVAL'!H9),'COMMERCIAL EVAL'!H9,0),"0.00")&amp;" of "&amp;'CRITERIA BUILDER'!C15&amp;". ","Price not evaluated. ")&amp;"Total: "&amp;TEXT(IF(ISNUMBER(DASHBOARD!H13),DASHBOARD!H13,0),"0.00")&amp;" of 100. "&amp;IF(ISNUMBER(DASHBOARD!A13),"Rank: "&amp;DASHBOARD!A13&amp;". ","")&amp;"Status: "&amp;DASHBOARD!I13&amp;"."&amp;IF('TECHNICAL SCORING'!K9=""," [Committee to record specific evidence for manual technical scores.]"," Evaluator note: "&amp;'TECHNICAL SCORING'!K9),"Responsiveness not yet recorded."))))</f>
        <v/>
      </c>
      <c r="B31" s="14"/>
      <c r="C31" s="14"/>
      <c r="D31" s="14"/>
      <c r="E31" s="14"/>
      <c r="F31" s="14"/>
      <c r="G31" s="14"/>
      <c r="H31" s="14"/>
      <c r="I31" s="3"/>
      <c r="J31" s="3"/>
      <c r="K31" s="3"/>
      <c r="L31" s="3"/>
      <c r="M31" s="3"/>
      <c r="N31" s="3"/>
      <c r="O31" s="3"/>
      <c r="P31" s="3"/>
      <c r="Q31" s="3"/>
      <c r="R31" s="3"/>
      <c r="S31" s="3"/>
      <c r="T31" s="3"/>
      <c r="U31" s="3"/>
      <c r="V31" s="3"/>
      <c r="W31" s="3"/>
      <c r="X31" s="3"/>
      <c r="Y31" s="3"/>
      <c r="Z31" s="3"/>
      <c r="AA31" s="3"/>
      <c r="AB31" s="3"/>
      <c r="AC31" s="3"/>
      <c r="AD31" s="3"/>
    </row>
    <row r="32" ht="69.75" customHeight="1" spans="1:30">
      <c r="A32" s="14" t="str">
        <f>IF(LEN('BIDDER REGISTER'!B10)=0,"","• "&amp;'BIDDER REGISTER'!B10&amp;" — "&amp;IF(RESPONSIVENESS!J10="Non-responsive","Non-responsive to mandatory requirements. Excluded from scored evaluation.",IF(RESPONSIVENESS!J10="Incomplete","Responsiveness assessment incomplete. Not evaluated for scoring until mandatory checks are completed.",IF(RESPONSIVENESS!J10="Responsive","Responsive to mandatory requirements. "&amp;"Technical score: "&amp;IF(ISNUMBER('TECHNICAL SCORING'!I10),'TECHNICAL SCORING'!I10,0)&amp;" of "&amp;('CRITERIA BUILDER'!C9+'CRITERIA BUILDER'!C10+'CRITERIA BUILDER'!C11+'CRITERIA BUILDER'!C12+'CRITERIA BUILDER'!C13+'CRITERIA BUILDER'!C16)&amp;IF('TECHNICAL SCORING'!J10="Yes"," (meets minimum threshold). ",IF('TECHNICAL SCORING'!J10="No"," (below minimum threshold — cannot proceed to award). ",". "))&amp;"Financial capacity screened as "&amp;'FINANCIAL CAPACITY'!AB10&amp;IF('FINANCIAL CAPACITY'!AB10="High Risk",". Committee should request clarification on the bidder's financial position, including any negative equity, accumulated losses, or debt service concerns, before proceeding. ",IF('FINANCIAL CAPACITY'!AB10="Stretched",". Financial position is tight; Committee should record specific concerns. ",IF('FINANCIAL CAPACITY'!AB10="No Data",". No financial statements or figures were entered. Committee should request evidence of financial capacity before proceeding. ",IF('FINANCIAL CAPACITY'!AB10="Incomplete",". Financial submission is incomplete. Committee should request the missing figures. ",". "))))&amp;IF(AND(ISNUMBER('COMMERCIAL EVAL'!F10),'COMMERCIAL EVAL'!F10&gt;0),"Evaluated price (incl VAT): TTD "&amp;TEXT('COMMERCIAL EVAL'!F10,"#,##0")&amp;". Price score: "&amp;TEXT(IF(ISNUMBER('COMMERCIAL EVAL'!H10),'COMMERCIAL EVAL'!H10,0),"0.00")&amp;" of "&amp;'CRITERIA BUILDER'!C15&amp;". ","Price not evaluated. ")&amp;"Total: "&amp;TEXT(IF(ISNUMBER(DASHBOARD!H14),DASHBOARD!H14,0),"0.00")&amp;" of 100. "&amp;IF(ISNUMBER(DASHBOARD!A14),"Rank: "&amp;DASHBOARD!A14&amp;". ","")&amp;"Status: "&amp;DASHBOARD!I14&amp;"."&amp;IF('TECHNICAL SCORING'!K10=""," [Committee to record specific evidence for manual technical scores.]"," Evaluator note: "&amp;'TECHNICAL SCORING'!K10),"Responsiveness not yet recorded."))))</f>
        <v/>
      </c>
      <c r="B32" s="14"/>
      <c r="C32" s="14"/>
      <c r="D32" s="14"/>
      <c r="E32" s="14"/>
      <c r="F32" s="14"/>
      <c r="G32" s="14"/>
      <c r="H32" s="14"/>
      <c r="I32" s="3"/>
      <c r="J32" s="3"/>
      <c r="K32" s="3"/>
      <c r="L32" s="3"/>
      <c r="M32" s="3"/>
      <c r="N32" s="3"/>
      <c r="O32" s="3"/>
      <c r="P32" s="3"/>
      <c r="Q32" s="3"/>
      <c r="R32" s="3"/>
      <c r="S32" s="3"/>
      <c r="T32" s="3"/>
      <c r="U32" s="3"/>
      <c r="V32" s="3"/>
      <c r="W32" s="3"/>
      <c r="X32" s="3"/>
      <c r="Y32" s="3"/>
      <c r="Z32" s="3"/>
      <c r="AA32" s="3"/>
      <c r="AB32" s="3"/>
      <c r="AC32" s="3"/>
      <c r="AD32" s="3"/>
    </row>
    <row r="33" ht="69.75" customHeight="1" spans="1:30">
      <c r="A33" s="14" t="str">
        <f>IF(LEN('BIDDER REGISTER'!B11)=0,"","• "&amp;'BIDDER REGISTER'!B11&amp;" — "&amp;IF(RESPONSIVENESS!J11="Non-responsive","Non-responsive to mandatory requirements. Excluded from scored evaluation.",IF(RESPONSIVENESS!J11="Incomplete","Responsiveness assessment incomplete. Not evaluated for scoring until mandatory checks are completed.",IF(RESPONSIVENESS!J11="Responsive","Responsive to mandatory requirements. "&amp;"Technical score: "&amp;IF(ISNUMBER('TECHNICAL SCORING'!I11),'TECHNICAL SCORING'!I11,0)&amp;" of "&amp;('CRITERIA BUILDER'!C9+'CRITERIA BUILDER'!C10+'CRITERIA BUILDER'!C11+'CRITERIA BUILDER'!C12+'CRITERIA BUILDER'!C13+'CRITERIA BUILDER'!C16)&amp;IF('TECHNICAL SCORING'!J11="Yes"," (meets minimum threshold). ",IF('TECHNICAL SCORING'!J11="No"," (below minimum threshold — cannot proceed to award). ",". "))&amp;"Financial capacity screened as "&amp;'FINANCIAL CAPACITY'!AB11&amp;IF('FINANCIAL CAPACITY'!AB11="High Risk",". Committee should request clarification on the bidder's financial position, including any negative equity, accumulated losses, or debt service concerns, before proceeding. ",IF('FINANCIAL CAPACITY'!AB11="Stretched",". Financial position is tight; Committee should record specific concerns. ",IF('FINANCIAL CAPACITY'!AB11="No Data",". No financial statements or figures were entered. Committee should request evidence of financial capacity before proceeding. ",IF('FINANCIAL CAPACITY'!AB11="Incomplete",". Financial submission is incomplete. Committee should request the missing figures. ",". "))))&amp;IF(AND(ISNUMBER('COMMERCIAL EVAL'!F11),'COMMERCIAL EVAL'!F11&gt;0),"Evaluated price (incl VAT): TTD "&amp;TEXT('COMMERCIAL EVAL'!F11,"#,##0")&amp;". Price score: "&amp;TEXT(IF(ISNUMBER('COMMERCIAL EVAL'!H11),'COMMERCIAL EVAL'!H11,0),"0.00")&amp;" of "&amp;'CRITERIA BUILDER'!C15&amp;". ","Price not evaluated. ")&amp;"Total: "&amp;TEXT(IF(ISNUMBER(DASHBOARD!H15),DASHBOARD!H15,0),"0.00")&amp;" of 100. "&amp;IF(ISNUMBER(DASHBOARD!A15),"Rank: "&amp;DASHBOARD!A15&amp;". ","")&amp;"Status: "&amp;DASHBOARD!I15&amp;"."&amp;IF('TECHNICAL SCORING'!K11=""," [Committee to record specific evidence for manual technical scores.]"," Evaluator note: "&amp;'TECHNICAL SCORING'!K11),"Responsiveness not yet recorded."))))</f>
        <v/>
      </c>
      <c r="B33" s="14"/>
      <c r="C33" s="14"/>
      <c r="D33" s="14"/>
      <c r="E33" s="14"/>
      <c r="F33" s="14"/>
      <c r="G33" s="14"/>
      <c r="H33" s="14"/>
      <c r="I33" s="3"/>
      <c r="J33" s="3"/>
      <c r="K33" s="3"/>
      <c r="L33" s="3"/>
      <c r="M33" s="3"/>
      <c r="N33" s="3"/>
      <c r="O33" s="3"/>
      <c r="P33" s="3"/>
      <c r="Q33" s="3"/>
      <c r="R33" s="3"/>
      <c r="S33" s="3"/>
      <c r="T33" s="3"/>
      <c r="U33" s="3"/>
      <c r="V33" s="3"/>
      <c r="W33" s="3"/>
      <c r="X33" s="3"/>
      <c r="Y33" s="3"/>
      <c r="Z33" s="3"/>
      <c r="AA33" s="3"/>
      <c r="AB33" s="3"/>
      <c r="AC33" s="3"/>
      <c r="AD33" s="3"/>
    </row>
    <row r="34" ht="69.75" customHeight="1" spans="1:30">
      <c r="A34" s="14" t="str">
        <f>IF(LEN('BIDDER REGISTER'!B12)=0,"","• "&amp;'BIDDER REGISTER'!B12&amp;" — "&amp;IF(RESPONSIVENESS!J12="Non-responsive","Non-responsive to mandatory requirements. Excluded from scored evaluation.",IF(RESPONSIVENESS!J12="Incomplete","Responsiveness assessment incomplete. Not evaluated for scoring until mandatory checks are completed.",IF(RESPONSIVENESS!J12="Responsive","Responsive to mandatory requirements. "&amp;"Technical score: "&amp;IF(ISNUMBER('TECHNICAL SCORING'!I12),'TECHNICAL SCORING'!I12,0)&amp;" of "&amp;('CRITERIA BUILDER'!C9+'CRITERIA BUILDER'!C10+'CRITERIA BUILDER'!C11+'CRITERIA BUILDER'!C12+'CRITERIA BUILDER'!C13+'CRITERIA BUILDER'!C16)&amp;IF('TECHNICAL SCORING'!J12="Yes"," (meets minimum threshold). ",IF('TECHNICAL SCORING'!J12="No"," (below minimum threshold — cannot proceed to award). ",". "))&amp;"Financial capacity screened as "&amp;'FINANCIAL CAPACITY'!AB12&amp;IF('FINANCIAL CAPACITY'!AB12="High Risk",". Committee should request clarification on the bidder's financial position, including any negative equity, accumulated losses, or debt service concerns, before proceeding. ",IF('FINANCIAL CAPACITY'!AB12="Stretched",". Financial position is tight; Committee should record specific concerns. ",IF('FINANCIAL CAPACITY'!AB12="No Data",". No financial statements or figures were entered. Committee should request evidence of financial capacity before proceeding. ",IF('FINANCIAL CAPACITY'!AB12="Incomplete",". Financial submission is incomplete. Committee should request the missing figures. ",". "))))&amp;IF(AND(ISNUMBER('COMMERCIAL EVAL'!F12),'COMMERCIAL EVAL'!F12&gt;0),"Evaluated price (incl VAT): TTD "&amp;TEXT('COMMERCIAL EVAL'!F12,"#,##0")&amp;". Price score: "&amp;TEXT(IF(ISNUMBER('COMMERCIAL EVAL'!H12),'COMMERCIAL EVAL'!H12,0),"0.00")&amp;" of "&amp;'CRITERIA BUILDER'!C15&amp;". ","Price not evaluated. ")&amp;"Total: "&amp;TEXT(IF(ISNUMBER(DASHBOARD!H16),DASHBOARD!H16,0),"0.00")&amp;" of 100. "&amp;IF(ISNUMBER(DASHBOARD!A16),"Rank: "&amp;DASHBOARD!A16&amp;". ","")&amp;"Status: "&amp;DASHBOARD!I16&amp;"."&amp;IF('TECHNICAL SCORING'!K12=""," [Committee to record specific evidence for manual technical scores.]"," Evaluator note: "&amp;'TECHNICAL SCORING'!K12),"Responsiveness not yet recorded."))))</f>
        <v/>
      </c>
      <c r="B34" s="14"/>
      <c r="C34" s="14"/>
      <c r="D34" s="14"/>
      <c r="E34" s="14"/>
      <c r="F34" s="14"/>
      <c r="G34" s="14"/>
      <c r="H34" s="14"/>
      <c r="I34" s="3"/>
      <c r="J34" s="3"/>
      <c r="K34" s="3"/>
      <c r="L34" s="3"/>
      <c r="M34" s="3"/>
      <c r="N34" s="3"/>
      <c r="O34" s="3"/>
      <c r="P34" s="3"/>
      <c r="Q34" s="3"/>
      <c r="R34" s="3"/>
      <c r="S34" s="3"/>
      <c r="T34" s="3"/>
      <c r="U34" s="3"/>
      <c r="V34" s="3"/>
      <c r="W34" s="3"/>
      <c r="X34" s="3"/>
      <c r="Y34" s="3"/>
      <c r="Z34" s="3"/>
      <c r="AA34" s="3"/>
      <c r="AB34" s="3"/>
      <c r="AC34" s="3"/>
      <c r="AD34" s="3"/>
    </row>
    <row r="35" ht="69.75" customHeight="1" spans="1:30">
      <c r="A35" s="14" t="str">
        <f>IF(LEN('BIDDER REGISTER'!B13)=0,"","• "&amp;'BIDDER REGISTER'!B13&amp;" — "&amp;IF(RESPONSIVENESS!J13="Non-responsive","Non-responsive to mandatory requirements. Excluded from scored evaluation.",IF(RESPONSIVENESS!J13="Incomplete","Responsiveness assessment incomplete. Not evaluated for scoring until mandatory checks are completed.",IF(RESPONSIVENESS!J13="Responsive","Responsive to mandatory requirements. "&amp;"Technical score: "&amp;IF(ISNUMBER('TECHNICAL SCORING'!I13),'TECHNICAL SCORING'!I13,0)&amp;" of "&amp;('CRITERIA BUILDER'!C9+'CRITERIA BUILDER'!C10+'CRITERIA BUILDER'!C11+'CRITERIA BUILDER'!C12+'CRITERIA BUILDER'!C13+'CRITERIA BUILDER'!C16)&amp;IF('TECHNICAL SCORING'!J13="Yes"," (meets minimum threshold). ",IF('TECHNICAL SCORING'!J13="No"," (below minimum threshold — cannot proceed to award). ",". "))&amp;"Financial capacity screened as "&amp;'FINANCIAL CAPACITY'!AB13&amp;IF('FINANCIAL CAPACITY'!AB13="High Risk",". Committee should request clarification on the bidder's financial position, including any negative equity, accumulated losses, or debt service concerns, before proceeding. ",IF('FINANCIAL CAPACITY'!AB13="Stretched",". Financial position is tight; Committee should record specific concerns. ",IF('FINANCIAL CAPACITY'!AB13="No Data",". No financial statements or figures were entered. Committee should request evidence of financial capacity before proceeding. ",IF('FINANCIAL CAPACITY'!AB13="Incomplete",". Financial submission is incomplete. Committee should request the missing figures. ",". "))))&amp;IF(AND(ISNUMBER('COMMERCIAL EVAL'!F13),'COMMERCIAL EVAL'!F13&gt;0),"Evaluated price (incl VAT): TTD "&amp;TEXT('COMMERCIAL EVAL'!F13,"#,##0")&amp;". Price score: "&amp;TEXT(IF(ISNUMBER('COMMERCIAL EVAL'!H13),'COMMERCIAL EVAL'!H13,0),"0.00")&amp;" of "&amp;'CRITERIA BUILDER'!C15&amp;". ","Price not evaluated. ")&amp;"Total: "&amp;TEXT(IF(ISNUMBER(DASHBOARD!H17),DASHBOARD!H17,0),"0.00")&amp;" of 100. "&amp;IF(ISNUMBER(DASHBOARD!A17),"Rank: "&amp;DASHBOARD!A17&amp;". ","")&amp;"Status: "&amp;DASHBOARD!I17&amp;"."&amp;IF('TECHNICAL SCORING'!K13=""," [Committee to record specific evidence for manual technical scores.]"," Evaluator note: "&amp;'TECHNICAL SCORING'!K13),"Responsiveness not yet recorded."))))</f>
        <v/>
      </c>
      <c r="B35" s="14"/>
      <c r="C35" s="14"/>
      <c r="D35" s="14"/>
      <c r="E35" s="14"/>
      <c r="F35" s="14"/>
      <c r="G35" s="14"/>
      <c r="H35" s="14"/>
      <c r="I35" s="3"/>
      <c r="J35" s="3"/>
      <c r="K35" s="3"/>
      <c r="L35" s="3"/>
      <c r="M35" s="3"/>
      <c r="N35" s="3"/>
      <c r="O35" s="3"/>
      <c r="P35" s="3"/>
      <c r="Q35" s="3"/>
      <c r="R35" s="3"/>
      <c r="S35" s="3"/>
      <c r="T35" s="3"/>
      <c r="U35" s="3"/>
      <c r="V35" s="3"/>
      <c r="W35" s="3"/>
      <c r="X35" s="3"/>
      <c r="Y35" s="3"/>
      <c r="Z35" s="3"/>
      <c r="AA35" s="3"/>
      <c r="AB35" s="3"/>
      <c r="AC35" s="3"/>
      <c r="AD35" s="3"/>
    </row>
    <row r="36" ht="69.75" customHeight="1" spans="1:30">
      <c r="A36" s="14" t="str">
        <f>IF(LEN('BIDDER REGISTER'!B14)=0,"","• "&amp;'BIDDER REGISTER'!B14&amp;" — "&amp;IF(RESPONSIVENESS!J14="Non-responsive","Non-responsive to mandatory requirements. Excluded from scored evaluation.",IF(RESPONSIVENESS!J14="Incomplete","Responsiveness assessment incomplete. Not evaluated for scoring until mandatory checks are completed.",IF(RESPONSIVENESS!J14="Responsive","Responsive to mandatory requirements. "&amp;"Technical score: "&amp;IF(ISNUMBER('TECHNICAL SCORING'!I14),'TECHNICAL SCORING'!I14,0)&amp;" of "&amp;('CRITERIA BUILDER'!C9+'CRITERIA BUILDER'!C10+'CRITERIA BUILDER'!C11+'CRITERIA BUILDER'!C12+'CRITERIA BUILDER'!C13+'CRITERIA BUILDER'!C16)&amp;IF('TECHNICAL SCORING'!J14="Yes"," (meets minimum threshold). ",IF('TECHNICAL SCORING'!J14="No"," (below minimum threshold — cannot proceed to award). ",". "))&amp;"Financial capacity screened as "&amp;'FINANCIAL CAPACITY'!AB14&amp;IF('FINANCIAL CAPACITY'!AB14="High Risk",". Committee should request clarification on the bidder's financial position, including any negative equity, accumulated losses, or debt service concerns, before proceeding. ",IF('FINANCIAL CAPACITY'!AB14="Stretched",". Financial position is tight; Committee should record specific concerns. ",IF('FINANCIAL CAPACITY'!AB14="No Data",". No financial statements or figures were entered. Committee should request evidence of financial capacity before proceeding. ",IF('FINANCIAL CAPACITY'!AB14="Incomplete",". Financial submission is incomplete. Committee should request the missing figures. ",". "))))&amp;IF(AND(ISNUMBER('COMMERCIAL EVAL'!F14),'COMMERCIAL EVAL'!F14&gt;0),"Evaluated price (incl VAT): TTD "&amp;TEXT('COMMERCIAL EVAL'!F14,"#,##0")&amp;". Price score: "&amp;TEXT(IF(ISNUMBER('COMMERCIAL EVAL'!H14),'COMMERCIAL EVAL'!H14,0),"0.00")&amp;" of "&amp;'CRITERIA BUILDER'!C15&amp;". ","Price not evaluated. ")&amp;"Total: "&amp;TEXT(IF(ISNUMBER(DASHBOARD!H18),DASHBOARD!H18,0),"0.00")&amp;" of 100. "&amp;IF(ISNUMBER(DASHBOARD!A18),"Rank: "&amp;DASHBOARD!A18&amp;". ","")&amp;"Status: "&amp;DASHBOARD!I18&amp;"."&amp;IF('TECHNICAL SCORING'!K14=""," [Committee to record specific evidence for manual technical scores.]"," Evaluator note: "&amp;'TECHNICAL SCORING'!K14),"Responsiveness not yet recorded."))))</f>
        <v/>
      </c>
      <c r="B36" s="14"/>
      <c r="C36" s="14"/>
      <c r="D36" s="14"/>
      <c r="E36" s="14"/>
      <c r="F36" s="14"/>
      <c r="G36" s="14"/>
      <c r="H36" s="14"/>
      <c r="I36" s="3"/>
      <c r="J36" s="3"/>
      <c r="K36" s="3"/>
      <c r="L36" s="3"/>
      <c r="M36" s="3"/>
      <c r="N36" s="3"/>
      <c r="O36" s="3"/>
      <c r="P36" s="3"/>
      <c r="Q36" s="3"/>
      <c r="R36" s="3"/>
      <c r="S36" s="3"/>
      <c r="T36" s="3"/>
      <c r="U36" s="3"/>
      <c r="V36" s="3"/>
      <c r="W36" s="3"/>
      <c r="X36" s="3"/>
      <c r="Y36" s="3"/>
      <c r="Z36" s="3"/>
      <c r="AA36" s="3"/>
      <c r="AB36" s="3"/>
      <c r="AC36" s="3"/>
      <c r="AD36" s="3"/>
    </row>
    <row r="37" ht="69.75" customHeight="1" spans="1:30">
      <c r="A37" s="14" t="str">
        <f>IF(LEN('BIDDER REGISTER'!B15)=0,"","• "&amp;'BIDDER REGISTER'!B15&amp;" — "&amp;IF(RESPONSIVENESS!J15="Non-responsive","Non-responsive to mandatory requirements. Excluded from scored evaluation.",IF(RESPONSIVENESS!J15="Incomplete","Responsiveness assessment incomplete. Not evaluated for scoring until mandatory checks are completed.",IF(RESPONSIVENESS!J15="Responsive","Responsive to mandatory requirements. "&amp;"Technical score: "&amp;IF(ISNUMBER('TECHNICAL SCORING'!I15),'TECHNICAL SCORING'!I15,0)&amp;" of "&amp;('CRITERIA BUILDER'!C9+'CRITERIA BUILDER'!C10+'CRITERIA BUILDER'!C11+'CRITERIA BUILDER'!C12+'CRITERIA BUILDER'!C13+'CRITERIA BUILDER'!C16)&amp;IF('TECHNICAL SCORING'!J15="Yes"," (meets minimum threshold). ",IF('TECHNICAL SCORING'!J15="No"," (below minimum threshold — cannot proceed to award). ",". "))&amp;"Financial capacity screened as "&amp;'FINANCIAL CAPACITY'!AB15&amp;IF('FINANCIAL CAPACITY'!AB15="High Risk",". Committee should request clarification on the bidder's financial position, including any negative equity, accumulated losses, or debt service concerns, before proceeding. ",IF('FINANCIAL CAPACITY'!AB15="Stretched",". Financial position is tight; Committee should record specific concerns. ",IF('FINANCIAL CAPACITY'!AB15="No Data",". No financial statements or figures were entered. Committee should request evidence of financial capacity before proceeding. ",IF('FINANCIAL CAPACITY'!AB15="Incomplete",". Financial submission is incomplete. Committee should request the missing figures. ",". "))))&amp;IF(AND(ISNUMBER('COMMERCIAL EVAL'!F15),'COMMERCIAL EVAL'!F15&gt;0),"Evaluated price (incl VAT): TTD "&amp;TEXT('COMMERCIAL EVAL'!F15,"#,##0")&amp;". Price score: "&amp;TEXT(IF(ISNUMBER('COMMERCIAL EVAL'!H15),'COMMERCIAL EVAL'!H15,0),"0.00")&amp;" of "&amp;'CRITERIA BUILDER'!C15&amp;". ","Price not evaluated. ")&amp;"Total: "&amp;TEXT(IF(ISNUMBER(DASHBOARD!H19),DASHBOARD!H19,0),"0.00")&amp;" of 100. "&amp;IF(ISNUMBER(DASHBOARD!A19),"Rank: "&amp;DASHBOARD!A19&amp;". ","")&amp;"Status: "&amp;DASHBOARD!I19&amp;"."&amp;IF('TECHNICAL SCORING'!K15=""," [Committee to record specific evidence for manual technical scores.]"," Evaluator note: "&amp;'TECHNICAL SCORING'!K15),"Responsiveness not yet recorded."))))</f>
        <v/>
      </c>
      <c r="B37" s="14"/>
      <c r="C37" s="14"/>
      <c r="D37" s="14"/>
      <c r="E37" s="14"/>
      <c r="F37" s="14"/>
      <c r="G37" s="14"/>
      <c r="H37" s="14"/>
      <c r="I37" s="3"/>
      <c r="J37" s="3"/>
      <c r="K37" s="3"/>
      <c r="L37" s="3"/>
      <c r="M37" s="3"/>
      <c r="N37" s="3"/>
      <c r="O37" s="3"/>
      <c r="P37" s="3"/>
      <c r="Q37" s="3"/>
      <c r="R37" s="3"/>
      <c r="S37" s="3"/>
      <c r="T37" s="3"/>
      <c r="U37" s="3"/>
      <c r="V37" s="3"/>
      <c r="W37" s="3"/>
      <c r="X37" s="3"/>
      <c r="Y37" s="3"/>
      <c r="Z37" s="3"/>
      <c r="AA37" s="3"/>
      <c r="AB37" s="3"/>
      <c r="AC37" s="3"/>
      <c r="AD37" s="3"/>
    </row>
    <row r="38" ht="69.75" customHeight="1" spans="1:30">
      <c r="A38" s="14" t="str">
        <f>IF(LEN('BIDDER REGISTER'!B16)=0,"","• "&amp;'BIDDER REGISTER'!B16&amp;" — "&amp;IF(RESPONSIVENESS!J16="Non-responsive","Non-responsive to mandatory requirements. Excluded from scored evaluation.",IF(RESPONSIVENESS!J16="Incomplete","Responsiveness assessment incomplete. Not evaluated for scoring until mandatory checks are completed.",IF(RESPONSIVENESS!J16="Responsive","Responsive to mandatory requirements. "&amp;"Technical score: "&amp;IF(ISNUMBER('TECHNICAL SCORING'!I16),'TECHNICAL SCORING'!I16,0)&amp;" of "&amp;('CRITERIA BUILDER'!C9+'CRITERIA BUILDER'!C10+'CRITERIA BUILDER'!C11+'CRITERIA BUILDER'!C12+'CRITERIA BUILDER'!C13+'CRITERIA BUILDER'!C16)&amp;IF('TECHNICAL SCORING'!J16="Yes"," (meets minimum threshold). ",IF('TECHNICAL SCORING'!J16="No"," (below minimum threshold — cannot proceed to award). ",". "))&amp;"Financial capacity screened as "&amp;'FINANCIAL CAPACITY'!AB16&amp;IF('FINANCIAL CAPACITY'!AB16="High Risk",". Committee should request clarification on the bidder's financial position, including any negative equity, accumulated losses, or debt service concerns, before proceeding. ",IF('FINANCIAL CAPACITY'!AB16="Stretched",". Financial position is tight; Committee should record specific concerns. ",IF('FINANCIAL CAPACITY'!AB16="No Data",". No financial statements or figures were entered. Committee should request evidence of financial capacity before proceeding. ",IF('FINANCIAL CAPACITY'!AB16="Incomplete",". Financial submission is incomplete. Committee should request the missing figures. ",". "))))&amp;IF(AND(ISNUMBER('COMMERCIAL EVAL'!F16),'COMMERCIAL EVAL'!F16&gt;0),"Evaluated price (incl VAT): TTD "&amp;TEXT('COMMERCIAL EVAL'!F16,"#,##0")&amp;". Price score: "&amp;TEXT(IF(ISNUMBER('COMMERCIAL EVAL'!H16),'COMMERCIAL EVAL'!H16,0),"0.00")&amp;" of "&amp;'CRITERIA BUILDER'!C15&amp;". ","Price not evaluated. ")&amp;"Total: "&amp;TEXT(IF(ISNUMBER(DASHBOARD!H20),DASHBOARD!H20,0),"0.00")&amp;" of 100. "&amp;IF(ISNUMBER(DASHBOARD!A20),"Rank: "&amp;DASHBOARD!A20&amp;". ","")&amp;"Status: "&amp;DASHBOARD!I20&amp;"."&amp;IF('TECHNICAL SCORING'!K16=""," [Committee to record specific evidence for manual technical scores.]"," Evaluator note: "&amp;'TECHNICAL SCORING'!K16),"Responsiveness not yet recorded."))))</f>
        <v/>
      </c>
      <c r="B38" s="14"/>
      <c r="C38" s="14"/>
      <c r="D38" s="14"/>
      <c r="E38" s="14"/>
      <c r="F38" s="14"/>
      <c r="G38" s="14"/>
      <c r="H38" s="14"/>
      <c r="I38" s="3"/>
      <c r="J38" s="3"/>
      <c r="K38" s="3"/>
      <c r="L38" s="3"/>
      <c r="M38" s="3"/>
      <c r="N38" s="3"/>
      <c r="O38" s="3"/>
      <c r="P38" s="3"/>
      <c r="Q38" s="3"/>
      <c r="R38" s="3"/>
      <c r="S38" s="3"/>
      <c r="T38" s="3"/>
      <c r="U38" s="3"/>
      <c r="V38" s="3"/>
      <c r="W38" s="3"/>
      <c r="X38" s="3"/>
      <c r="Y38" s="3"/>
      <c r="Z38" s="3"/>
      <c r="AA38" s="3"/>
      <c r="AB38" s="3"/>
      <c r="AC38" s="3"/>
      <c r="AD38" s="3"/>
    </row>
    <row r="39" ht="69.75" customHeight="1" spans="1:30">
      <c r="A39" s="14" t="str">
        <f>IF(LEN('BIDDER REGISTER'!B17)=0,"","• "&amp;'BIDDER REGISTER'!B17&amp;" — "&amp;IF(RESPONSIVENESS!J17="Non-responsive","Non-responsive to mandatory requirements. Excluded from scored evaluation.",IF(RESPONSIVENESS!J17="Incomplete","Responsiveness assessment incomplete. Not evaluated for scoring until mandatory checks are completed.",IF(RESPONSIVENESS!J17="Responsive","Responsive to mandatory requirements. "&amp;"Technical score: "&amp;IF(ISNUMBER('TECHNICAL SCORING'!I17),'TECHNICAL SCORING'!I17,0)&amp;" of "&amp;('CRITERIA BUILDER'!C9+'CRITERIA BUILDER'!C10+'CRITERIA BUILDER'!C11+'CRITERIA BUILDER'!C12+'CRITERIA BUILDER'!C13+'CRITERIA BUILDER'!C16)&amp;IF('TECHNICAL SCORING'!J17="Yes"," (meets minimum threshold). ",IF('TECHNICAL SCORING'!J17="No"," (below minimum threshold — cannot proceed to award). ",". "))&amp;"Financial capacity screened as "&amp;'FINANCIAL CAPACITY'!AB17&amp;IF('FINANCIAL CAPACITY'!AB17="High Risk",". Committee should request clarification on the bidder's financial position, including any negative equity, accumulated losses, or debt service concerns, before proceeding. ",IF('FINANCIAL CAPACITY'!AB17="Stretched",". Financial position is tight; Committee should record specific concerns. ",IF('FINANCIAL CAPACITY'!AB17="No Data",". No financial statements or figures were entered. Committee should request evidence of financial capacity before proceeding. ",IF('FINANCIAL CAPACITY'!AB17="Incomplete",". Financial submission is incomplete. Committee should request the missing figures. ",". "))))&amp;IF(AND(ISNUMBER('COMMERCIAL EVAL'!F17),'COMMERCIAL EVAL'!F17&gt;0),"Evaluated price (incl VAT): TTD "&amp;TEXT('COMMERCIAL EVAL'!F17,"#,##0")&amp;". Price score: "&amp;TEXT(IF(ISNUMBER('COMMERCIAL EVAL'!H17),'COMMERCIAL EVAL'!H17,0),"0.00")&amp;" of "&amp;'CRITERIA BUILDER'!C15&amp;". ","Price not evaluated. ")&amp;"Total: "&amp;TEXT(IF(ISNUMBER(DASHBOARD!H21),DASHBOARD!H21,0),"0.00")&amp;" of 100. "&amp;IF(ISNUMBER(DASHBOARD!A21),"Rank: "&amp;DASHBOARD!A21&amp;". ","")&amp;"Status: "&amp;DASHBOARD!I21&amp;"."&amp;IF('TECHNICAL SCORING'!K17=""," [Committee to record specific evidence for manual technical scores.]"," Evaluator note: "&amp;'TECHNICAL SCORING'!K17),"Responsiveness not yet recorded."))))</f>
        <v/>
      </c>
      <c r="B39" s="14"/>
      <c r="C39" s="14"/>
      <c r="D39" s="14"/>
      <c r="E39" s="14"/>
      <c r="F39" s="14"/>
      <c r="G39" s="14"/>
      <c r="H39" s="14"/>
      <c r="I39" s="3"/>
      <c r="J39" s="3"/>
      <c r="K39" s="3"/>
      <c r="L39" s="3"/>
      <c r="M39" s="3"/>
      <c r="N39" s="3"/>
      <c r="O39" s="3"/>
      <c r="P39" s="3"/>
      <c r="Q39" s="3"/>
      <c r="R39" s="3"/>
      <c r="S39" s="3"/>
      <c r="T39" s="3"/>
      <c r="U39" s="3"/>
      <c r="V39" s="3"/>
      <c r="W39" s="3"/>
      <c r="X39" s="3"/>
      <c r="Y39" s="3"/>
      <c r="Z39" s="3"/>
      <c r="AA39" s="3"/>
      <c r="AB39" s="3"/>
      <c r="AC39" s="3"/>
      <c r="AD39" s="3"/>
    </row>
    <row r="40" ht="69.75" customHeight="1" spans="1:30">
      <c r="A40" s="14" t="str">
        <f>IF(LEN('BIDDER REGISTER'!B18)=0,"","• "&amp;'BIDDER REGISTER'!B18&amp;" — "&amp;IF(RESPONSIVENESS!J18="Non-responsive","Non-responsive to mandatory requirements. Excluded from scored evaluation.",IF(RESPONSIVENESS!J18="Incomplete","Responsiveness assessment incomplete. Not evaluated for scoring until mandatory checks are completed.",IF(RESPONSIVENESS!J18="Responsive","Responsive to mandatory requirements. "&amp;"Technical score: "&amp;IF(ISNUMBER('TECHNICAL SCORING'!I18),'TECHNICAL SCORING'!I18,0)&amp;" of "&amp;('CRITERIA BUILDER'!C9+'CRITERIA BUILDER'!C10+'CRITERIA BUILDER'!C11+'CRITERIA BUILDER'!C12+'CRITERIA BUILDER'!C13+'CRITERIA BUILDER'!C16)&amp;IF('TECHNICAL SCORING'!J18="Yes"," (meets minimum threshold). ",IF('TECHNICAL SCORING'!J18="No"," (below minimum threshold — cannot proceed to award). ",". "))&amp;"Financial capacity screened as "&amp;'FINANCIAL CAPACITY'!AB18&amp;IF('FINANCIAL CAPACITY'!AB18="High Risk",". Committee should request clarification on the bidder's financial position, including any negative equity, accumulated losses, or debt service concerns, before proceeding. ",IF('FINANCIAL CAPACITY'!AB18="Stretched",". Financial position is tight; Committee should record specific concerns. ",IF('FINANCIAL CAPACITY'!AB18="No Data",". No financial statements or figures were entered. Committee should request evidence of financial capacity before proceeding. ",IF('FINANCIAL CAPACITY'!AB18="Incomplete",". Financial submission is incomplete. Committee should request the missing figures. ",". "))))&amp;IF(AND(ISNUMBER('COMMERCIAL EVAL'!F18),'COMMERCIAL EVAL'!F18&gt;0),"Evaluated price (incl VAT): TTD "&amp;TEXT('COMMERCIAL EVAL'!F18,"#,##0")&amp;". Price score: "&amp;TEXT(IF(ISNUMBER('COMMERCIAL EVAL'!H18),'COMMERCIAL EVAL'!H18,0),"0.00")&amp;" of "&amp;'CRITERIA BUILDER'!C15&amp;". ","Price not evaluated. ")&amp;"Total: "&amp;TEXT(IF(ISNUMBER(DASHBOARD!H22),DASHBOARD!H22,0),"0.00")&amp;" of 100. "&amp;IF(ISNUMBER(DASHBOARD!A22),"Rank: "&amp;DASHBOARD!A22&amp;". ","")&amp;"Status: "&amp;DASHBOARD!I22&amp;"."&amp;IF('TECHNICAL SCORING'!K18=""," [Committee to record specific evidence for manual technical scores.]"," Evaluator note: "&amp;'TECHNICAL SCORING'!K18),"Responsiveness not yet recorded."))))</f>
        <v/>
      </c>
      <c r="B40" s="14"/>
      <c r="C40" s="14"/>
      <c r="D40" s="14"/>
      <c r="E40" s="14"/>
      <c r="F40" s="14"/>
      <c r="G40" s="14"/>
      <c r="H40" s="14"/>
      <c r="I40" s="3"/>
      <c r="J40" s="3"/>
      <c r="K40" s="3"/>
      <c r="L40" s="3"/>
      <c r="M40" s="3"/>
      <c r="N40" s="3"/>
      <c r="O40" s="3"/>
      <c r="P40" s="3"/>
      <c r="Q40" s="3"/>
      <c r="R40" s="3"/>
      <c r="S40" s="3"/>
      <c r="T40" s="3"/>
      <c r="U40" s="3"/>
      <c r="V40" s="3"/>
      <c r="W40" s="3"/>
      <c r="X40" s="3"/>
      <c r="Y40" s="3"/>
      <c r="Z40" s="3"/>
      <c r="AA40" s="3"/>
      <c r="AB40" s="3"/>
      <c r="AC40" s="3"/>
      <c r="AD40" s="3"/>
    </row>
    <row r="41" ht="69.75" customHeight="1" spans="1:30">
      <c r="A41" s="14" t="str">
        <f>IF(LEN('BIDDER REGISTER'!B19)=0,"","• "&amp;'BIDDER REGISTER'!B19&amp;" — "&amp;IF(RESPONSIVENESS!J19="Non-responsive","Non-responsive to mandatory requirements. Excluded from scored evaluation.",IF(RESPONSIVENESS!J19="Incomplete","Responsiveness assessment incomplete. Not evaluated for scoring until mandatory checks are completed.",IF(RESPONSIVENESS!J19="Responsive","Responsive to mandatory requirements. "&amp;"Technical score: "&amp;IF(ISNUMBER('TECHNICAL SCORING'!I19),'TECHNICAL SCORING'!I19,0)&amp;" of "&amp;('CRITERIA BUILDER'!C9+'CRITERIA BUILDER'!C10+'CRITERIA BUILDER'!C11+'CRITERIA BUILDER'!C12+'CRITERIA BUILDER'!C13+'CRITERIA BUILDER'!C16)&amp;IF('TECHNICAL SCORING'!J19="Yes"," (meets minimum threshold). ",IF('TECHNICAL SCORING'!J19="No"," (below minimum threshold — cannot proceed to award). ",". "))&amp;"Financial capacity screened as "&amp;'FINANCIAL CAPACITY'!AB19&amp;IF('FINANCIAL CAPACITY'!AB19="High Risk",". Committee should request clarification on the bidder's financial position, including any negative equity, accumulated losses, or debt service concerns, before proceeding. ",IF('FINANCIAL CAPACITY'!AB19="Stretched",". Financial position is tight; Committee should record specific concerns. ",IF('FINANCIAL CAPACITY'!AB19="No Data",". No financial statements or figures were entered. Committee should request evidence of financial capacity before proceeding. ",IF('FINANCIAL CAPACITY'!AB19="Incomplete",". Financial submission is incomplete. Committee should request the missing figures. ",". "))))&amp;IF(AND(ISNUMBER('COMMERCIAL EVAL'!F19),'COMMERCIAL EVAL'!F19&gt;0),"Evaluated price (incl VAT): TTD "&amp;TEXT('COMMERCIAL EVAL'!F19,"#,##0")&amp;". Price score: "&amp;TEXT(IF(ISNUMBER('COMMERCIAL EVAL'!H19),'COMMERCIAL EVAL'!H19,0),"0.00")&amp;" of "&amp;'CRITERIA BUILDER'!C15&amp;". ","Price not evaluated. ")&amp;"Total: "&amp;TEXT(IF(ISNUMBER(DASHBOARD!H23),DASHBOARD!H23,0),"0.00")&amp;" of 100. "&amp;IF(ISNUMBER(DASHBOARD!A23),"Rank: "&amp;DASHBOARD!A23&amp;". ","")&amp;"Status: "&amp;DASHBOARD!I23&amp;"."&amp;IF('TECHNICAL SCORING'!K19=""," [Committee to record specific evidence for manual technical scores.]"," Evaluator note: "&amp;'TECHNICAL SCORING'!K19),"Responsiveness not yet recorded."))))</f>
        <v/>
      </c>
      <c r="B41" s="14"/>
      <c r="C41" s="14"/>
      <c r="D41" s="14"/>
      <c r="E41" s="14"/>
      <c r="F41" s="14"/>
      <c r="G41" s="14"/>
      <c r="H41" s="14"/>
      <c r="I41" s="3"/>
      <c r="J41" s="3"/>
      <c r="K41" s="3"/>
      <c r="L41" s="3"/>
      <c r="M41" s="3"/>
      <c r="N41" s="3"/>
      <c r="O41" s="3"/>
      <c r="P41" s="3"/>
      <c r="Q41" s="3"/>
      <c r="R41" s="3"/>
      <c r="S41" s="3"/>
      <c r="T41" s="3"/>
      <c r="U41" s="3"/>
      <c r="V41" s="3"/>
      <c r="W41" s="3"/>
      <c r="X41" s="3"/>
      <c r="Y41" s="3"/>
      <c r="Z41" s="3"/>
      <c r="AA41" s="3"/>
      <c r="AB41" s="3"/>
      <c r="AC41" s="3"/>
      <c r="AD41" s="3"/>
    </row>
    <row r="42" ht="69.75" customHeight="1" spans="1:30">
      <c r="A42" s="14" t="str">
        <f>IF(LEN('BIDDER REGISTER'!B20)=0,"","• "&amp;'BIDDER REGISTER'!B20&amp;" — "&amp;IF(RESPONSIVENESS!J20="Non-responsive","Non-responsive to mandatory requirements. Excluded from scored evaluation.",IF(RESPONSIVENESS!J20="Incomplete","Responsiveness assessment incomplete. Not evaluated for scoring until mandatory checks are completed.",IF(RESPONSIVENESS!J20="Responsive","Responsive to mandatory requirements. "&amp;"Technical score: "&amp;IF(ISNUMBER('TECHNICAL SCORING'!I20),'TECHNICAL SCORING'!I20,0)&amp;" of "&amp;('CRITERIA BUILDER'!C9+'CRITERIA BUILDER'!C10+'CRITERIA BUILDER'!C11+'CRITERIA BUILDER'!C12+'CRITERIA BUILDER'!C13+'CRITERIA BUILDER'!C16)&amp;IF('TECHNICAL SCORING'!J20="Yes"," (meets minimum threshold). ",IF('TECHNICAL SCORING'!J20="No"," (below minimum threshold — cannot proceed to award). ",". "))&amp;"Financial capacity screened as "&amp;'FINANCIAL CAPACITY'!AB20&amp;IF('FINANCIAL CAPACITY'!AB20="High Risk",". Committee should request clarification on the bidder's financial position, including any negative equity, accumulated losses, or debt service concerns, before proceeding. ",IF('FINANCIAL CAPACITY'!AB20="Stretched",". Financial position is tight; Committee should record specific concerns. ",IF('FINANCIAL CAPACITY'!AB20="No Data",". No financial statements or figures were entered. Committee should request evidence of financial capacity before proceeding. ",IF('FINANCIAL CAPACITY'!AB20="Incomplete",". Financial submission is incomplete. Committee should request the missing figures. ",". "))))&amp;IF(AND(ISNUMBER('COMMERCIAL EVAL'!F20),'COMMERCIAL EVAL'!F20&gt;0),"Evaluated price (incl VAT): TTD "&amp;TEXT('COMMERCIAL EVAL'!F20,"#,##0")&amp;". Price score: "&amp;TEXT(IF(ISNUMBER('COMMERCIAL EVAL'!H20),'COMMERCIAL EVAL'!H20,0),"0.00")&amp;" of "&amp;'CRITERIA BUILDER'!C15&amp;". ","Price not evaluated. ")&amp;"Total: "&amp;TEXT(IF(ISNUMBER(DASHBOARD!H24),DASHBOARD!H24,0),"0.00")&amp;" of 100. "&amp;IF(ISNUMBER(DASHBOARD!A24),"Rank: "&amp;DASHBOARD!A24&amp;". ","")&amp;"Status: "&amp;DASHBOARD!I24&amp;"."&amp;IF('TECHNICAL SCORING'!K20=""," [Committee to record specific evidence for manual technical scores.]"," Evaluator note: "&amp;'TECHNICAL SCORING'!K20),"Responsiveness not yet recorded."))))</f>
        <v/>
      </c>
      <c r="B42" s="14"/>
      <c r="C42" s="14"/>
      <c r="D42" s="14"/>
      <c r="E42" s="14"/>
      <c r="F42" s="14"/>
      <c r="G42" s="14"/>
      <c r="H42" s="14"/>
      <c r="I42" s="3"/>
      <c r="J42" s="3"/>
      <c r="K42" s="3"/>
      <c r="L42" s="3"/>
      <c r="M42" s="3"/>
      <c r="N42" s="3"/>
      <c r="O42" s="3"/>
      <c r="P42" s="3"/>
      <c r="Q42" s="3"/>
      <c r="R42" s="3"/>
      <c r="S42" s="3"/>
      <c r="T42" s="3"/>
      <c r="U42" s="3"/>
      <c r="V42" s="3"/>
      <c r="W42" s="3"/>
      <c r="X42" s="3"/>
      <c r="Y42" s="3"/>
      <c r="Z42" s="3"/>
      <c r="AA42" s="3"/>
      <c r="AB42" s="3"/>
      <c r="AC42" s="3"/>
      <c r="AD42" s="3"/>
    </row>
    <row r="43" ht="69.75" customHeight="1" spans="1:30">
      <c r="A43" s="14" t="str">
        <f>IF(LEN('BIDDER REGISTER'!B21)=0,"","• "&amp;'BIDDER REGISTER'!B21&amp;" — "&amp;IF(RESPONSIVENESS!J21="Non-responsive","Non-responsive to mandatory requirements. Excluded from scored evaluation.",IF(RESPONSIVENESS!J21="Incomplete","Responsiveness assessment incomplete. Not evaluated for scoring until mandatory checks are completed.",IF(RESPONSIVENESS!J21="Responsive","Responsive to mandatory requirements. "&amp;"Technical score: "&amp;IF(ISNUMBER('TECHNICAL SCORING'!I21),'TECHNICAL SCORING'!I21,0)&amp;" of "&amp;('CRITERIA BUILDER'!C9+'CRITERIA BUILDER'!C10+'CRITERIA BUILDER'!C11+'CRITERIA BUILDER'!C12+'CRITERIA BUILDER'!C13+'CRITERIA BUILDER'!C16)&amp;IF('TECHNICAL SCORING'!J21="Yes"," (meets minimum threshold). ",IF('TECHNICAL SCORING'!J21="No"," (below minimum threshold — cannot proceed to award). ",". "))&amp;"Financial capacity screened as "&amp;'FINANCIAL CAPACITY'!AB21&amp;IF('FINANCIAL CAPACITY'!AB21="High Risk",". Committee should request clarification on the bidder's financial position, including any negative equity, accumulated losses, or debt service concerns, before proceeding. ",IF('FINANCIAL CAPACITY'!AB21="Stretched",". Financial position is tight; Committee should record specific concerns. ",IF('FINANCIAL CAPACITY'!AB21="No Data",". No financial statements or figures were entered. Committee should request evidence of financial capacity before proceeding. ",IF('FINANCIAL CAPACITY'!AB21="Incomplete",". Financial submission is incomplete. Committee should request the missing figures. ",". "))))&amp;IF(AND(ISNUMBER('COMMERCIAL EVAL'!F21),'COMMERCIAL EVAL'!F21&gt;0),"Evaluated price (incl VAT): TTD "&amp;TEXT('COMMERCIAL EVAL'!F21,"#,##0")&amp;". Price score: "&amp;TEXT(IF(ISNUMBER('COMMERCIAL EVAL'!H21),'COMMERCIAL EVAL'!H21,0),"0.00")&amp;" of "&amp;'CRITERIA BUILDER'!C15&amp;". ","Price not evaluated. ")&amp;"Total: "&amp;TEXT(IF(ISNUMBER(DASHBOARD!H25),DASHBOARD!H25,0),"0.00")&amp;" of 100. "&amp;IF(ISNUMBER(DASHBOARD!A25),"Rank: "&amp;DASHBOARD!A25&amp;". ","")&amp;"Status: "&amp;DASHBOARD!I25&amp;"."&amp;IF('TECHNICAL SCORING'!K21=""," [Committee to record specific evidence for manual technical scores.]"," Evaluator note: "&amp;'TECHNICAL SCORING'!K21),"Responsiveness not yet recorded."))))</f>
        <v/>
      </c>
      <c r="B43" s="14"/>
      <c r="C43" s="14"/>
      <c r="D43" s="14"/>
      <c r="E43" s="14"/>
      <c r="F43" s="14"/>
      <c r="G43" s="14"/>
      <c r="H43" s="14"/>
      <c r="I43" s="3"/>
      <c r="J43" s="3"/>
      <c r="K43" s="3"/>
      <c r="L43" s="3"/>
      <c r="M43" s="3"/>
      <c r="N43" s="3"/>
      <c r="O43" s="3"/>
      <c r="P43" s="3"/>
      <c r="Q43" s="3"/>
      <c r="R43" s="3"/>
      <c r="S43" s="3"/>
      <c r="T43" s="3"/>
      <c r="U43" s="3"/>
      <c r="V43" s="3"/>
      <c r="W43" s="3"/>
      <c r="X43" s="3"/>
      <c r="Y43" s="3"/>
      <c r="Z43" s="3"/>
      <c r="AA43" s="3"/>
      <c r="AB43" s="3"/>
      <c r="AC43" s="3"/>
      <c r="AD43" s="3"/>
    </row>
    <row r="44" ht="69.75" customHeight="1" spans="1:30">
      <c r="A44" s="14" t="str">
        <f>IF(LEN('BIDDER REGISTER'!B22)=0,"","• "&amp;'BIDDER REGISTER'!B22&amp;" — "&amp;IF(RESPONSIVENESS!J22="Non-responsive","Non-responsive to mandatory requirements. Excluded from scored evaluation.",IF(RESPONSIVENESS!J22="Incomplete","Responsiveness assessment incomplete. Not evaluated for scoring until mandatory checks are completed.",IF(RESPONSIVENESS!J22="Responsive","Responsive to mandatory requirements. "&amp;"Technical score: "&amp;IF(ISNUMBER('TECHNICAL SCORING'!I22),'TECHNICAL SCORING'!I22,0)&amp;" of "&amp;('CRITERIA BUILDER'!C9+'CRITERIA BUILDER'!C10+'CRITERIA BUILDER'!C11+'CRITERIA BUILDER'!C12+'CRITERIA BUILDER'!C13+'CRITERIA BUILDER'!C16)&amp;IF('TECHNICAL SCORING'!J22="Yes"," (meets minimum threshold). ",IF('TECHNICAL SCORING'!J22="No"," (below minimum threshold — cannot proceed to award). ",". "))&amp;"Financial capacity screened as "&amp;'FINANCIAL CAPACITY'!AB22&amp;IF('FINANCIAL CAPACITY'!AB22="High Risk",". Committee should request clarification on the bidder's financial position, including any negative equity, accumulated losses, or debt service concerns, before proceeding. ",IF('FINANCIAL CAPACITY'!AB22="Stretched",". Financial position is tight; Committee should record specific concerns. ",IF('FINANCIAL CAPACITY'!AB22="No Data",". No financial statements or figures were entered. Committee should request evidence of financial capacity before proceeding. ",IF('FINANCIAL CAPACITY'!AB22="Incomplete",". Financial submission is incomplete. Committee should request the missing figures. ",". "))))&amp;IF(AND(ISNUMBER('COMMERCIAL EVAL'!F22),'COMMERCIAL EVAL'!F22&gt;0),"Evaluated price (incl VAT): TTD "&amp;TEXT('COMMERCIAL EVAL'!F22,"#,##0")&amp;". Price score: "&amp;TEXT(IF(ISNUMBER('COMMERCIAL EVAL'!H22),'COMMERCIAL EVAL'!H22,0),"0.00")&amp;" of "&amp;'CRITERIA BUILDER'!C15&amp;". ","Price not evaluated. ")&amp;"Total: "&amp;TEXT(IF(ISNUMBER(DASHBOARD!H26),DASHBOARD!H26,0),"0.00")&amp;" of 100. "&amp;IF(ISNUMBER(DASHBOARD!A26),"Rank: "&amp;DASHBOARD!A26&amp;". ","")&amp;"Status: "&amp;DASHBOARD!I26&amp;"."&amp;IF('TECHNICAL SCORING'!K22=""," [Committee to record specific evidence for manual technical scores.]"," Evaluator note: "&amp;'TECHNICAL SCORING'!K22),"Responsiveness not yet recorded."))))</f>
        <v/>
      </c>
      <c r="B44" s="14"/>
      <c r="C44" s="14"/>
      <c r="D44" s="14"/>
      <c r="E44" s="14"/>
      <c r="F44" s="14"/>
      <c r="G44" s="14"/>
      <c r="H44" s="14"/>
      <c r="I44" s="3"/>
      <c r="J44" s="3"/>
      <c r="K44" s="3"/>
      <c r="L44" s="3"/>
      <c r="M44" s="3"/>
      <c r="N44" s="3"/>
      <c r="O44" s="3"/>
      <c r="P44" s="3"/>
      <c r="Q44" s="3"/>
      <c r="R44" s="3"/>
      <c r="S44" s="3"/>
      <c r="T44" s="3"/>
      <c r="U44" s="3"/>
      <c r="V44" s="3"/>
      <c r="W44" s="3"/>
      <c r="X44" s="3"/>
      <c r="Y44" s="3"/>
      <c r="Z44" s="3"/>
      <c r="AA44" s="3"/>
      <c r="AB44" s="3"/>
      <c r="AC44" s="3"/>
      <c r="AD44" s="3"/>
    </row>
    <row r="45" ht="69.75" customHeight="1" spans="1:30">
      <c r="A45" s="14" t="str">
        <f>IF(LEN('BIDDER REGISTER'!B23)=0,"","• "&amp;'BIDDER REGISTER'!B23&amp;" — "&amp;IF(RESPONSIVENESS!J23="Non-responsive","Non-responsive to mandatory requirements. Excluded from scored evaluation.",IF(RESPONSIVENESS!J23="Incomplete","Responsiveness assessment incomplete. Not evaluated for scoring until mandatory checks are completed.",IF(RESPONSIVENESS!J23="Responsive","Responsive to mandatory requirements. "&amp;"Technical score: "&amp;IF(ISNUMBER('TECHNICAL SCORING'!I23),'TECHNICAL SCORING'!I23,0)&amp;" of "&amp;('CRITERIA BUILDER'!C9+'CRITERIA BUILDER'!C10+'CRITERIA BUILDER'!C11+'CRITERIA BUILDER'!C12+'CRITERIA BUILDER'!C13+'CRITERIA BUILDER'!C16)&amp;IF('TECHNICAL SCORING'!J23="Yes"," (meets minimum threshold). ",IF('TECHNICAL SCORING'!J23="No"," (below minimum threshold — cannot proceed to award). ",". "))&amp;"Financial capacity screened as "&amp;'FINANCIAL CAPACITY'!AB23&amp;IF('FINANCIAL CAPACITY'!AB23="High Risk",". Committee should request clarification on the bidder's financial position, including any negative equity, accumulated losses, or debt service concerns, before proceeding. ",IF('FINANCIAL CAPACITY'!AB23="Stretched",". Financial position is tight; Committee should record specific concerns. ",IF('FINANCIAL CAPACITY'!AB23="No Data",". No financial statements or figures were entered. Committee should request evidence of financial capacity before proceeding. ",IF('FINANCIAL CAPACITY'!AB23="Incomplete",". Financial submission is incomplete. Committee should request the missing figures. ",". "))))&amp;IF(AND(ISNUMBER('COMMERCIAL EVAL'!F23),'COMMERCIAL EVAL'!F23&gt;0),"Evaluated price (incl VAT): TTD "&amp;TEXT('COMMERCIAL EVAL'!F23,"#,##0")&amp;". Price score: "&amp;TEXT(IF(ISNUMBER('COMMERCIAL EVAL'!H23),'COMMERCIAL EVAL'!H23,0),"0.00")&amp;" of "&amp;'CRITERIA BUILDER'!C15&amp;". ","Price not evaluated. ")&amp;"Total: "&amp;TEXT(IF(ISNUMBER(DASHBOARD!H27),DASHBOARD!H27,0),"0.00")&amp;" of 100. "&amp;IF(ISNUMBER(DASHBOARD!A27),"Rank: "&amp;DASHBOARD!A27&amp;". ","")&amp;"Status: "&amp;DASHBOARD!I27&amp;"."&amp;IF('TECHNICAL SCORING'!K23=""," [Committee to record specific evidence for manual technical scores.]"," Evaluator note: "&amp;'TECHNICAL SCORING'!K23),"Responsiveness not yet recorded."))))</f>
        <v/>
      </c>
      <c r="B45" s="14"/>
      <c r="C45" s="14"/>
      <c r="D45" s="14"/>
      <c r="E45" s="14"/>
      <c r="F45" s="14"/>
      <c r="G45" s="14"/>
      <c r="H45" s="14"/>
      <c r="I45" s="3"/>
      <c r="J45" s="3"/>
      <c r="K45" s="3"/>
      <c r="L45" s="3"/>
      <c r="M45" s="3"/>
      <c r="N45" s="3"/>
      <c r="O45" s="3"/>
      <c r="P45" s="3"/>
      <c r="Q45" s="3"/>
      <c r="R45" s="3"/>
      <c r="S45" s="3"/>
      <c r="T45" s="3"/>
      <c r="U45" s="3"/>
      <c r="V45" s="3"/>
      <c r="W45" s="3"/>
      <c r="X45" s="3"/>
      <c r="Y45" s="3"/>
      <c r="Z45" s="3"/>
      <c r="AA45" s="3"/>
      <c r="AB45" s="3"/>
      <c r="AC45" s="3"/>
      <c r="AD45" s="3"/>
    </row>
    <row r="46" ht="69.75" customHeight="1" spans="1:30">
      <c r="A46" s="14" t="str">
        <f>IF(LEN('BIDDER REGISTER'!B24)=0,"","• "&amp;'BIDDER REGISTER'!B24&amp;" — "&amp;IF(RESPONSIVENESS!J24="Non-responsive","Non-responsive to mandatory requirements. Excluded from scored evaluation.",IF(RESPONSIVENESS!J24="Incomplete","Responsiveness assessment incomplete. Not evaluated for scoring until mandatory checks are completed.",IF(RESPONSIVENESS!J24="Responsive","Responsive to mandatory requirements. "&amp;"Technical score: "&amp;IF(ISNUMBER('TECHNICAL SCORING'!I24),'TECHNICAL SCORING'!I24,0)&amp;" of "&amp;('CRITERIA BUILDER'!C9+'CRITERIA BUILDER'!C10+'CRITERIA BUILDER'!C11+'CRITERIA BUILDER'!C12+'CRITERIA BUILDER'!C13+'CRITERIA BUILDER'!C16)&amp;IF('TECHNICAL SCORING'!J24="Yes"," (meets minimum threshold). ",IF('TECHNICAL SCORING'!J24="No"," (below minimum threshold — cannot proceed to award). ",". "))&amp;"Financial capacity screened as "&amp;'FINANCIAL CAPACITY'!AB24&amp;IF('FINANCIAL CAPACITY'!AB24="High Risk",". Committee should request clarification on the bidder's financial position, including any negative equity, accumulated losses, or debt service concerns, before proceeding. ",IF('FINANCIAL CAPACITY'!AB24="Stretched",". Financial position is tight; Committee should record specific concerns. ",IF('FINANCIAL CAPACITY'!AB24="No Data",". No financial statements or figures were entered. Committee should request evidence of financial capacity before proceeding. ",IF('FINANCIAL CAPACITY'!AB24="Incomplete",". Financial submission is incomplete. Committee should request the missing figures. ",". "))))&amp;IF(AND(ISNUMBER('COMMERCIAL EVAL'!F24),'COMMERCIAL EVAL'!F24&gt;0),"Evaluated price (incl VAT): TTD "&amp;TEXT('COMMERCIAL EVAL'!F24,"#,##0")&amp;". Price score: "&amp;TEXT(IF(ISNUMBER('COMMERCIAL EVAL'!H24),'COMMERCIAL EVAL'!H24,0),"0.00")&amp;" of "&amp;'CRITERIA BUILDER'!C15&amp;". ","Price not evaluated. ")&amp;"Total: "&amp;TEXT(IF(ISNUMBER(DASHBOARD!H28),DASHBOARD!H28,0),"0.00")&amp;" of 100. "&amp;IF(ISNUMBER(DASHBOARD!A28),"Rank: "&amp;DASHBOARD!A28&amp;". ","")&amp;"Status: "&amp;DASHBOARD!I28&amp;"."&amp;IF('TECHNICAL SCORING'!K24=""," [Committee to record specific evidence for manual technical scores.]"," Evaluator note: "&amp;'TECHNICAL SCORING'!K24),"Responsiveness not yet recorded."))))</f>
        <v/>
      </c>
      <c r="B46" s="14"/>
      <c r="C46" s="14"/>
      <c r="D46" s="14"/>
      <c r="E46" s="14"/>
      <c r="F46" s="14"/>
      <c r="G46" s="14"/>
      <c r="H46" s="14"/>
      <c r="I46" s="3"/>
      <c r="J46" s="3"/>
      <c r="K46" s="3"/>
      <c r="L46" s="3"/>
      <c r="M46" s="3"/>
      <c r="N46" s="3"/>
      <c r="O46" s="3"/>
      <c r="P46" s="3"/>
      <c r="Q46" s="3"/>
      <c r="R46" s="3"/>
      <c r="S46" s="3"/>
      <c r="T46" s="3"/>
      <c r="U46" s="3"/>
      <c r="V46" s="3"/>
      <c r="W46" s="3"/>
      <c r="X46" s="3"/>
      <c r="Y46" s="3"/>
      <c r="Z46" s="3"/>
      <c r="AA46" s="3"/>
      <c r="AB46" s="3"/>
      <c r="AC46" s="3"/>
      <c r="AD46" s="3"/>
    </row>
    <row r="47" ht="69.75" customHeight="1" spans="1:30">
      <c r="A47" s="14" t="str">
        <f>IF(LEN('BIDDER REGISTER'!B25)=0,"","• "&amp;'BIDDER REGISTER'!B25&amp;" — "&amp;IF(RESPONSIVENESS!J25="Non-responsive","Non-responsive to mandatory requirements. Excluded from scored evaluation.",IF(RESPONSIVENESS!J25="Incomplete","Responsiveness assessment incomplete. Not evaluated for scoring until mandatory checks are completed.",IF(RESPONSIVENESS!J25="Responsive","Responsive to mandatory requirements. "&amp;"Technical score: "&amp;IF(ISNUMBER('TECHNICAL SCORING'!I25),'TECHNICAL SCORING'!I25,0)&amp;" of "&amp;('CRITERIA BUILDER'!C9+'CRITERIA BUILDER'!C10+'CRITERIA BUILDER'!C11+'CRITERIA BUILDER'!C12+'CRITERIA BUILDER'!C13+'CRITERIA BUILDER'!C16)&amp;IF('TECHNICAL SCORING'!J25="Yes"," (meets minimum threshold). ",IF('TECHNICAL SCORING'!J25="No"," (below minimum threshold — cannot proceed to award). ",". "))&amp;"Financial capacity screened as "&amp;'FINANCIAL CAPACITY'!AB25&amp;IF('FINANCIAL CAPACITY'!AB25="High Risk",". Committee should request clarification on the bidder's financial position, including any negative equity, accumulated losses, or debt service concerns, before proceeding. ",IF('FINANCIAL CAPACITY'!AB25="Stretched",". Financial position is tight; Committee should record specific concerns. ",IF('FINANCIAL CAPACITY'!AB25="No Data",". No financial statements or figures were entered. Committee should request evidence of financial capacity before proceeding. ",IF('FINANCIAL CAPACITY'!AB25="Incomplete",". Financial submission is incomplete. Committee should request the missing figures. ",". "))))&amp;IF(AND(ISNUMBER('COMMERCIAL EVAL'!F25),'COMMERCIAL EVAL'!F25&gt;0),"Evaluated price (incl VAT): TTD "&amp;TEXT('COMMERCIAL EVAL'!F25,"#,##0")&amp;". Price score: "&amp;TEXT(IF(ISNUMBER('COMMERCIAL EVAL'!H25),'COMMERCIAL EVAL'!H25,0),"0.00")&amp;" of "&amp;'CRITERIA BUILDER'!C15&amp;". ","Price not evaluated. ")&amp;"Total: "&amp;TEXT(IF(ISNUMBER(DASHBOARD!H29),DASHBOARD!H29,0),"0.00")&amp;" of 100. "&amp;IF(ISNUMBER(DASHBOARD!A29),"Rank: "&amp;DASHBOARD!A29&amp;". ","")&amp;"Status: "&amp;DASHBOARD!I29&amp;"."&amp;IF('TECHNICAL SCORING'!K25=""," [Committee to record specific evidence for manual technical scores.]"," Evaluator note: "&amp;'TECHNICAL SCORING'!K25),"Responsiveness not yet recorded."))))</f>
        <v/>
      </c>
      <c r="B47" s="14"/>
      <c r="C47" s="14"/>
      <c r="D47" s="14"/>
      <c r="E47" s="14"/>
      <c r="F47" s="14"/>
      <c r="G47" s="14"/>
      <c r="H47" s="14"/>
      <c r="I47" s="3"/>
      <c r="J47" s="3"/>
      <c r="K47" s="3"/>
      <c r="L47" s="3"/>
      <c r="M47" s="3"/>
      <c r="N47" s="3"/>
      <c r="O47" s="3"/>
      <c r="P47" s="3"/>
      <c r="Q47" s="3"/>
      <c r="R47" s="3"/>
      <c r="S47" s="3"/>
      <c r="T47" s="3"/>
      <c r="U47" s="3"/>
      <c r="V47" s="3"/>
      <c r="W47" s="3"/>
      <c r="X47" s="3"/>
      <c r="Y47" s="3"/>
      <c r="Z47" s="3"/>
      <c r="AA47" s="3"/>
      <c r="AB47" s="3"/>
      <c r="AC47" s="3"/>
      <c r="AD47" s="3"/>
    </row>
    <row r="48" ht="69.75" customHeight="1" spans="1:30">
      <c r="A48" s="14" t="str">
        <f>IF(LEN('BIDDER REGISTER'!B26)=0,"","• "&amp;'BIDDER REGISTER'!B26&amp;" — "&amp;IF(RESPONSIVENESS!J26="Non-responsive","Non-responsive to mandatory requirements. Excluded from scored evaluation.",IF(RESPONSIVENESS!J26="Incomplete","Responsiveness assessment incomplete. Not evaluated for scoring until mandatory checks are completed.",IF(RESPONSIVENESS!J26="Responsive","Responsive to mandatory requirements. "&amp;"Technical score: "&amp;IF(ISNUMBER('TECHNICAL SCORING'!I26),'TECHNICAL SCORING'!I26,0)&amp;" of "&amp;('CRITERIA BUILDER'!C9+'CRITERIA BUILDER'!C10+'CRITERIA BUILDER'!C11+'CRITERIA BUILDER'!C12+'CRITERIA BUILDER'!C13+'CRITERIA BUILDER'!C16)&amp;IF('TECHNICAL SCORING'!J26="Yes"," (meets minimum threshold). ",IF('TECHNICAL SCORING'!J26="No"," (below minimum threshold — cannot proceed to award). ",". "))&amp;"Financial capacity screened as "&amp;'FINANCIAL CAPACITY'!AB26&amp;IF('FINANCIAL CAPACITY'!AB26="High Risk",". Committee should request clarification on the bidder's financial position, including any negative equity, accumulated losses, or debt service concerns, before proceeding. ",IF('FINANCIAL CAPACITY'!AB26="Stretched",". Financial position is tight; Committee should record specific concerns. ",IF('FINANCIAL CAPACITY'!AB26="No Data",". No financial statements or figures were entered. Committee should request evidence of financial capacity before proceeding. ",IF('FINANCIAL CAPACITY'!AB26="Incomplete",". Financial submission is incomplete. Committee should request the missing figures. ",". "))))&amp;IF(AND(ISNUMBER('COMMERCIAL EVAL'!F26),'COMMERCIAL EVAL'!F26&gt;0),"Evaluated price (incl VAT): TTD "&amp;TEXT('COMMERCIAL EVAL'!F26,"#,##0")&amp;". Price score: "&amp;TEXT(IF(ISNUMBER('COMMERCIAL EVAL'!H26),'COMMERCIAL EVAL'!H26,0),"0.00")&amp;" of "&amp;'CRITERIA BUILDER'!C15&amp;". ","Price not evaluated. ")&amp;"Total: "&amp;TEXT(IF(ISNUMBER(DASHBOARD!H30),DASHBOARD!H30,0),"0.00")&amp;" of 100. "&amp;IF(ISNUMBER(DASHBOARD!A30),"Rank: "&amp;DASHBOARD!A30&amp;". ","")&amp;"Status: "&amp;DASHBOARD!I30&amp;"."&amp;IF('TECHNICAL SCORING'!K26=""," [Committee to record specific evidence for manual technical scores.]"," Evaluator note: "&amp;'TECHNICAL SCORING'!K26),"Responsiveness not yet recorded."))))</f>
        <v/>
      </c>
      <c r="B48" s="14"/>
      <c r="C48" s="14"/>
      <c r="D48" s="14"/>
      <c r="E48" s="14"/>
      <c r="F48" s="14"/>
      <c r="G48" s="14"/>
      <c r="H48" s="14"/>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13" t="s">
        <v>256</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60" customHeight="1" spans="1:30">
      <c r="A51" s="14" t="str">
        <f>IF(COUNTIF(RESPONSIVENESS!J7:J26,"Non-responsive")+COUNTIF(RESPONSIVENESS!J7:J26,"Incomplete")=0,"No non-responsive or incomplete submissions were recorded.","The following bidder(s) were not evaluated for scoring. Reasons must be recorded on the RESPONSIVENESS tab: "&amp;IF(RESPONSIVENESS!J7="Non-responsive",RESPONSIVENESS!A7&amp;" (Non-responsive)"&amp;IF(RESPONSIVENESS!K7&lt;&gt;""," — "&amp;RESPONSIVENESS!K7,"")&amp;"; ","")&amp;IF(RESPONSIVENESS!J8="Non-responsive",RESPONSIVENESS!A8&amp;" (Non-responsive)"&amp;IF(RESPONSIVENESS!K8&lt;&gt;""," — "&amp;RESPONSIVENESS!K8,"")&amp;"; ","")&amp;IF(RESPONSIVENESS!J9="Non-responsive",RESPONSIVENESS!A9&amp;" (Non-responsive)"&amp;IF(RESPONSIVENESS!K9&lt;&gt;""," — "&amp;RESPONSIVENESS!K9,"")&amp;"; ","")&amp;IF(RESPONSIVENESS!J10="Non-responsive",RESPONSIVENESS!A10&amp;" (Non-responsive)"&amp;IF(RESPONSIVENESS!K10&lt;&gt;""," — "&amp;RESPONSIVENESS!K10,"")&amp;"; ","")&amp;IF(RESPONSIVENESS!J11="Non-responsive",RESPONSIVENESS!A11&amp;" (Non-responsive)"&amp;IF(RESPONSIVENESS!K11&lt;&gt;""," — "&amp;RESPONSIVENESS!K11,"")&amp;"; ","")&amp;IF(RESPONSIVENESS!J12="Non-responsive",RESPONSIVENESS!A12&amp;" (Non-responsive)"&amp;IF(RESPONSIVENESS!K12&lt;&gt;""," — "&amp;RESPONSIVENESS!K12,"")&amp;"; ","")&amp;IF(RESPONSIVENESS!J13="Non-responsive",RESPONSIVENESS!A13&amp;" (Non-responsive)"&amp;IF(RESPONSIVENESS!K13&lt;&gt;""," — "&amp;RESPONSIVENESS!K13,"")&amp;"; ","")&amp;IF(RESPONSIVENESS!J14="Non-responsive",RESPONSIVENESS!A14&amp;" (Non-responsive)"&amp;IF(RESPONSIVENESS!K14&lt;&gt;""," — "&amp;RESPONSIVENESS!K14,"")&amp;"; ","")&amp;IF(RESPONSIVENESS!J15="Non-responsive",RESPONSIVENESS!A15&amp;" (Non-responsive)"&amp;IF(RESPONSIVENESS!K15&lt;&gt;""," — "&amp;RESPONSIVENESS!K15,"")&amp;"; ","")&amp;IF(RESPONSIVENESS!J16="Non-responsive",RESPONSIVENESS!A16&amp;" (Non-responsive)"&amp;IF(RESPONSIVENESS!K16&lt;&gt;""," — "&amp;RESPONSIVENESS!K16,"")&amp;"; ","")&amp;IF(RESPONSIVENESS!J17="Non-responsive",RESPONSIVENESS!A17&amp;" (Non-responsive)"&amp;IF(RESPONSIVENESS!K17&lt;&gt;""," — "&amp;RESPONSIVENESS!K17,"")&amp;"; ","")&amp;IF(RESPONSIVENESS!J18="Non-responsive",RESPONSIVENESS!A18&amp;" (Non-responsive)"&amp;IF(RESPONSIVENESS!K18&lt;&gt;""," — "&amp;RESPONSIVENESS!K18,"")&amp;"; ","")&amp;IF(RESPONSIVENESS!J19="Non-responsive",RESPONSIVENESS!A19&amp;" (Non-responsive)"&amp;IF(RESPONSIVENESS!K19&lt;&gt;""," — "&amp;RESPONSIVENESS!K19,"")&amp;"; ","")&amp;IF(RESPONSIVENESS!J20="Non-responsive",RESPONSIVENESS!A20&amp;" (Non-responsive)"&amp;IF(RESPONSIVENESS!K20&lt;&gt;""," — "&amp;RESPONSIVENESS!K20,"")&amp;"; ","")&amp;IF(RESPONSIVENESS!J21="Non-responsive",RESPONSIVENESS!A21&amp;" (Non-responsive)"&amp;IF(RESPONSIVENESS!K21&lt;&gt;""," — "&amp;RESPONSIVENESS!K21,"")&amp;"; ","")&amp;IF(RESPONSIVENESS!J22="Non-responsive",RESPONSIVENESS!A22&amp;" (Non-responsive)"&amp;IF(RESPONSIVENESS!K22&lt;&gt;""," — "&amp;RESPONSIVENESS!K22,"")&amp;"; ","")&amp;IF(RESPONSIVENESS!J23="Non-responsive",RESPONSIVENESS!A23&amp;" (Non-responsive)"&amp;IF(RESPONSIVENESS!K23&lt;&gt;""," — "&amp;RESPONSIVENESS!K23,"")&amp;"; ","")&amp;IF(RESPONSIVENESS!J24="Non-responsive",RESPONSIVENESS!A24&amp;" (Non-responsive)"&amp;IF(RESPONSIVENESS!K24&lt;&gt;""," — "&amp;RESPONSIVENESS!K24,"")&amp;"; ","")&amp;IF(RESPONSIVENESS!J25="Non-responsive",RESPONSIVENESS!A25&amp;" (Non-responsive)"&amp;IF(RESPONSIVENESS!K25&lt;&gt;""," — "&amp;RESPONSIVENESS!K25,"")&amp;"; ","")&amp;IF(RESPONSIVENESS!J26="Non-responsive",RESPONSIVENESS!A26&amp;" (Non-responsive)"&amp;IF(RESPONSIVENESS!K26&lt;&gt;""," — "&amp;RESPONSIVENESS!K26,"")&amp;"; ","")&amp;IF(RESPONSIVENESS!J7="Incomplete",RESPONSIVENESS!A7&amp;" (Incomplete)"&amp;IF(RESPONSIVENESS!K7&lt;&gt;""," — "&amp;RESPONSIVENESS!K7,"")&amp;"; ","")&amp;IF(RESPONSIVENESS!J8="Incomplete",RESPONSIVENESS!A8&amp;" (Incomplete)"&amp;IF(RESPONSIVENESS!K8&lt;&gt;""," — "&amp;RESPONSIVENESS!K8,"")&amp;"; ","")&amp;IF(RESPONSIVENESS!J9="Incomplete",RESPONSIVENESS!A9&amp;" (Incomplete)"&amp;IF(RESPONSIVENESS!K9&lt;&gt;""," — "&amp;RESPONSIVENESS!K9,"")&amp;"; ","")&amp;IF(RESPONSIVENESS!J10="Incomplete",RESPONSIVENESS!A10&amp;" (Incomplete)"&amp;IF(RESPONSIVENESS!K10&lt;&gt;""," — "&amp;RESPONSIVENESS!K10,"")&amp;"; ","")&amp;IF(RESPONSIVENESS!J11="Incomplete",RESPONSIVENESS!A11&amp;" (Incomplete)"&amp;IF(RESPONSIVENESS!K11&lt;&gt;""," — "&amp;RESPONSIVENESS!K11,"")&amp;"; ","")&amp;IF(RESPONSIVENESS!J12="Incomplete",RESPONSIVENESS!A12&amp;" (Incomplete)"&amp;IF(RESPONSIVENESS!K12&lt;&gt;""," — "&amp;RESPONSIVENESS!K12,"")&amp;"; ","")&amp;IF(RESPONSIVENESS!J13="Incomplete",RESPONSIVENESS!A13&amp;" (Incomplete)"&amp;IF(RESPONSIVENESS!K13&lt;&gt;""," — "&amp;RESPONSIVENESS!K13,"")&amp;"; ","")&amp;IF(RESPONSIVENESS!J14="Incomplete",RESPONSIVENESS!A14&amp;" (Incomplete)"&amp;IF(RESPONSIVENESS!K14&lt;&gt;""," — "&amp;RESPONSIVENESS!K14,"")&amp;"; ","")&amp;IF(RESPONSIVENESS!J15="Incomplete",RESPONSIVENESS!A15&amp;" (Incomplete)"&amp;IF(RESPONSIVENESS!K15&lt;&gt;""," — "&amp;RESPONSIVENESS!K15,"")&amp;"; ","")&amp;IF(RESPONSIVENESS!J16="Incomplete",RESPONSIVENESS!A16&amp;" (Incomplete)"&amp;IF(RESPONSIVENESS!K16&lt;&gt;""," — "&amp;RESPONSIVENESS!K16,"")&amp;"; ","")&amp;IF(RESPONSIVENESS!J17="Incomplete",RESPONSIVENESS!A17&amp;" (Incomplete)"&amp;IF(RESPONSIVENESS!K17&lt;&gt;""," — "&amp;RESPONSIVENESS!K17,"")&amp;"; ","")&amp;IF(RESPONSIVENESS!J18="Incomplete",RESPONSIVENESS!A18&amp;" (Incomplete)"&amp;IF(RESPONSIVENESS!K18&lt;&gt;""," — "&amp;RESPONSIVENESS!K18,"")&amp;"; ","")&amp;IF(RESPONSIVENESS!J19="Incomplete",RESPONSIVENESS!A19&amp;" (Incomplete)"&amp;IF(RESPONSIVENESS!K19&lt;&gt;""," — "&amp;RESPONSIVENESS!K19,"")&amp;"; ","")&amp;IF(RESPONSIVENESS!J20="Incomplete",RESPONSIVENESS!A20&amp;" (Incomplete)"&amp;IF(RESPONSIVENESS!K20&lt;&gt;""," — "&amp;RESPONSIVENESS!K20,"")&amp;"; ","")&amp;IF(RESPONSIVENESS!J21="Incomplete",RESPONSIVENESS!A21&amp;" (Incomplete)"&amp;IF(RESPONSIVENESS!K21&lt;&gt;""," — "&amp;RESPONSIVENESS!K21,"")&amp;"; ","")&amp;IF(RESPONSIVENESS!J22="Incomplete",RESPONSIVENESS!A22&amp;" (Incomplete)"&amp;IF(RESPONSIVENESS!K22&lt;&gt;""," — "&amp;RESPONSIVENESS!K22,"")&amp;"; ","")&amp;IF(RESPONSIVENESS!J23="Incomplete",RESPONSIVENESS!A23&amp;" (Incomplete)"&amp;IF(RESPONSIVENESS!K23&lt;&gt;""," — "&amp;RESPONSIVENESS!K23,"")&amp;"; ","")&amp;IF(RESPONSIVENESS!J24="Incomplete",RESPONSIVENESS!A24&amp;" (Incomplete)"&amp;IF(RESPONSIVENESS!K24&lt;&gt;""," — "&amp;RESPONSIVENESS!K24,"")&amp;"; ","")&amp;IF(RESPONSIVENESS!J25="Incomplete",RESPONSIVENESS!A25&amp;" (Incomplete)"&amp;IF(RESPONSIVENESS!K25&lt;&gt;""," — "&amp;RESPONSIVENESS!K25,"")&amp;"; ","")&amp;IF(RESPONSIVENESS!J26="Incomplete",RESPONSIVENESS!A26&amp;" (Incomplete)"&amp;IF(RESPONSIVENESS!K26&lt;&gt;""," — "&amp;RESPONSIVENESS!K26,"")&amp;"; ",""))</f>
        <v>No non-responsive or incomplete submissions were recorded.</v>
      </c>
      <c r="B51" s="14"/>
      <c r="C51" s="14"/>
      <c r="D51" s="14"/>
      <c r="E51" s="14"/>
      <c r="F51" s="14"/>
      <c r="G51" s="14"/>
      <c r="H51" s="14"/>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13" t="s">
        <v>257</v>
      </c>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60" customHeight="1" spans="1:30">
      <c r="A54" s="14" t="str">
        <f>IFERROR("Based on the workbook results, the highest-ranked evaluated bidder is "&amp;INDEX(DASHBOARD!B11:B30,MATCH(1,DASHBOARD!A11:A30,0))&amp;" with a total score of "&amp;TEXT(INDEX(DASHBOARD!H11:H30,MATCH(1,DASHBOARD!A11:A30,0)),"0.00")&amp;" out of 100 points."&amp;IF(OR(INDEX(DASHBOARD!E11:E30,MATCH(1,DASHBOARD!A11:A30,0))="High Risk",INDEX(DASHBOARD!E11:E30,MATCH(1,DASHBOARD!A11:A30,0))="Stretched",INDEX(DASHBOARD!E11:E30,MATCH(1,DASHBOARD!A11:A30,0))="No Data",INDEX(DASHBOARD!E11:E30,MATCH(1,DASHBOARD!A11:A30,0))="Incomplete")," The Committee notes that this bidder's financial capacity is screened as "&amp;INDEX(DASHBOARD!E11:E30,MATCH(1,DASHBOARD!A11:A30,0))&amp;". The Committee must obtain and record specific clarification or additional evidence on financial capacity before recommending award.","")&amp;IFERROR(" The next-ranked bidder is "&amp;INDEX(DASHBOARD!B11:B30,MATCH(2,DASHBOARD!A11:A30,0))&amp;" with "&amp;TEXT(INDEX(DASHBOARD!H11:H30,MATCH(2,DASHBOARD!A11:A30,0)),"0.00")&amp;" points, to be considered if the highest-ranked bidder cannot proceed to award.","")&amp;" This recommendation remains subject to the Committee's review of manual technical evidence, the clarifications log, availability of funds, and all required approvals under the Public Procurement and Disposal of Public Property Act.","No recommendation is generated until at least one eligible bidder has been scored.")</f>
        <v>No recommendation is generated until at least one eligible bidder has been scored.</v>
      </c>
      <c r="B54" s="14"/>
      <c r="C54" s="14"/>
      <c r="D54" s="14"/>
      <c r="E54" s="14"/>
      <c r="F54" s="14"/>
      <c r="G54" s="14"/>
      <c r="H54" s="14"/>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13" t="s">
        <v>258</v>
      </c>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18" t="s">
        <v>238</v>
      </c>
      <c r="B58" s="18" t="s">
        <v>163</v>
      </c>
      <c r="C58" s="18" t="s">
        <v>239</v>
      </c>
      <c r="D58" s="18" t="s">
        <v>240</v>
      </c>
      <c r="E58" s="18" t="s">
        <v>241</v>
      </c>
      <c r="F58" s="18" t="s">
        <v>221</v>
      </c>
      <c r="G58" s="18" t="s">
        <v>242</v>
      </c>
      <c r="H58" s="18" t="s">
        <v>158</v>
      </c>
      <c r="I58" s="3"/>
      <c r="J58" s="3"/>
      <c r="K58" s="3"/>
      <c r="L58" s="3"/>
      <c r="M58" s="3"/>
      <c r="N58" s="3"/>
      <c r="O58" s="3"/>
      <c r="P58" s="3"/>
      <c r="Q58" s="3"/>
      <c r="R58" s="3"/>
      <c r="S58" s="3"/>
      <c r="T58" s="3"/>
      <c r="U58" s="3"/>
      <c r="V58" s="3"/>
      <c r="W58" s="3"/>
      <c r="X58" s="3"/>
      <c r="Y58" s="3"/>
      <c r="Z58" s="3"/>
      <c r="AA58" s="3"/>
      <c r="AB58" s="3"/>
      <c r="AC58" s="3"/>
      <c r="AD58" s="3"/>
    </row>
    <row r="59" ht="15" customHeight="1" spans="1:30">
      <c r="A59" s="19" t="str">
        <f>DASHBOARD!A11</f>
        <v/>
      </c>
      <c r="B59" s="20" t="str">
        <f>DASHBOARD!B11</f>
        <v/>
      </c>
      <c r="C59" s="19" t="str">
        <f>DASHBOARD!C11</f>
        <v/>
      </c>
      <c r="D59" s="21" t="str">
        <f>DASHBOARD!D11</f>
        <v/>
      </c>
      <c r="E59" s="19" t="str">
        <f>DASHBOARD!E11</f>
        <v/>
      </c>
      <c r="F59" s="21" t="str">
        <f>DASHBOARD!G11</f>
        <v/>
      </c>
      <c r="G59" s="21" t="str">
        <f>DASHBOARD!H11</f>
        <v/>
      </c>
      <c r="H59" s="19" t="str">
        <f>DASHBOARD!I11</f>
        <v/>
      </c>
      <c r="I59" s="3"/>
      <c r="J59" s="3"/>
      <c r="K59" s="3"/>
      <c r="L59" s="3"/>
      <c r="M59" s="3"/>
      <c r="N59" s="3"/>
      <c r="O59" s="3"/>
      <c r="P59" s="3"/>
      <c r="Q59" s="3"/>
      <c r="R59" s="3"/>
      <c r="S59" s="3"/>
      <c r="T59" s="3"/>
      <c r="U59" s="3"/>
      <c r="V59" s="3"/>
      <c r="W59" s="3"/>
      <c r="X59" s="3"/>
      <c r="Y59" s="3"/>
      <c r="Z59" s="3"/>
      <c r="AA59" s="3"/>
      <c r="AB59" s="3"/>
      <c r="AC59" s="3"/>
      <c r="AD59" s="3"/>
    </row>
    <row r="60" ht="15" customHeight="1" spans="1:30">
      <c r="A60" s="19" t="str">
        <f>DASHBOARD!A12</f>
        <v/>
      </c>
      <c r="B60" s="20" t="str">
        <f>DASHBOARD!B12</f>
        <v/>
      </c>
      <c r="C60" s="19" t="str">
        <f>DASHBOARD!C12</f>
        <v/>
      </c>
      <c r="D60" s="21" t="str">
        <f>DASHBOARD!D12</f>
        <v/>
      </c>
      <c r="E60" s="19" t="str">
        <f>DASHBOARD!E12</f>
        <v/>
      </c>
      <c r="F60" s="21" t="str">
        <f>DASHBOARD!G12</f>
        <v/>
      </c>
      <c r="G60" s="21" t="str">
        <f>DASHBOARD!H12</f>
        <v/>
      </c>
      <c r="H60" s="19" t="str">
        <f>DASHBOARD!I12</f>
        <v/>
      </c>
      <c r="I60" s="3"/>
      <c r="J60" s="3"/>
      <c r="K60" s="3"/>
      <c r="L60" s="3"/>
      <c r="M60" s="3"/>
      <c r="N60" s="3"/>
      <c r="O60" s="3"/>
      <c r="P60" s="3"/>
      <c r="Q60" s="3"/>
      <c r="R60" s="3"/>
      <c r="S60" s="3"/>
      <c r="T60" s="3"/>
      <c r="U60" s="3"/>
      <c r="V60" s="3"/>
      <c r="W60" s="3"/>
      <c r="X60" s="3"/>
      <c r="Y60" s="3"/>
      <c r="Z60" s="3"/>
      <c r="AA60" s="3"/>
      <c r="AB60" s="3"/>
      <c r="AC60" s="3"/>
      <c r="AD60" s="3"/>
    </row>
    <row r="61" ht="15" customHeight="1" spans="1:30">
      <c r="A61" s="22" t="str">
        <f>DASHBOARD!A13</f>
        <v/>
      </c>
      <c r="B61" s="23" t="str">
        <f>DASHBOARD!B13</f>
        <v/>
      </c>
      <c r="C61" s="22" t="str">
        <f>DASHBOARD!C13</f>
        <v/>
      </c>
      <c r="D61" s="24" t="str">
        <f>DASHBOARD!D13</f>
        <v/>
      </c>
      <c r="E61" s="22" t="str">
        <f>DASHBOARD!E13</f>
        <v/>
      </c>
      <c r="F61" s="24" t="str">
        <f>DASHBOARD!G13</f>
        <v/>
      </c>
      <c r="G61" s="24" t="str">
        <f>DASHBOARD!H13</f>
        <v/>
      </c>
      <c r="H61" s="22" t="str">
        <f>DASHBOARD!I13</f>
        <v/>
      </c>
      <c r="I61" s="1"/>
      <c r="J61" s="1"/>
      <c r="K61" s="1"/>
      <c r="L61" s="1"/>
      <c r="M61" s="1"/>
      <c r="N61" s="1"/>
      <c r="O61" s="1"/>
      <c r="P61" s="1"/>
      <c r="Q61" s="1"/>
      <c r="R61" s="1"/>
      <c r="S61" s="1"/>
      <c r="T61" s="1"/>
      <c r="U61" s="1"/>
      <c r="V61" s="1"/>
      <c r="W61" s="1"/>
      <c r="X61" s="1"/>
      <c r="Y61" s="1"/>
      <c r="Z61" s="1"/>
      <c r="AA61" s="1"/>
      <c r="AB61" s="1"/>
      <c r="AC61" s="1"/>
      <c r="AD61" s="1"/>
    </row>
    <row r="62" ht="15" customHeight="1" spans="1:30">
      <c r="A62" s="22" t="str">
        <f>DASHBOARD!A14</f>
        <v/>
      </c>
      <c r="B62" s="23" t="str">
        <f>DASHBOARD!B14</f>
        <v/>
      </c>
      <c r="C62" s="22" t="str">
        <f>DASHBOARD!C14</f>
        <v/>
      </c>
      <c r="D62" s="24" t="str">
        <f>DASHBOARD!D14</f>
        <v/>
      </c>
      <c r="E62" s="22" t="str">
        <f>DASHBOARD!E14</f>
        <v/>
      </c>
      <c r="F62" s="24" t="str">
        <f>DASHBOARD!G14</f>
        <v/>
      </c>
      <c r="G62" s="24" t="str">
        <f>DASHBOARD!H14</f>
        <v/>
      </c>
      <c r="H62" s="22" t="str">
        <f>DASHBOARD!I14</f>
        <v/>
      </c>
      <c r="I62" s="1"/>
      <c r="J62" s="1"/>
      <c r="K62" s="1"/>
      <c r="L62" s="1"/>
      <c r="M62" s="1"/>
      <c r="N62" s="1"/>
      <c r="O62" s="1"/>
      <c r="P62" s="1"/>
      <c r="Q62" s="1"/>
      <c r="R62" s="1"/>
      <c r="S62" s="1"/>
      <c r="T62" s="1"/>
      <c r="U62" s="1"/>
      <c r="V62" s="1"/>
      <c r="W62" s="1"/>
      <c r="X62" s="1"/>
      <c r="Y62" s="1"/>
      <c r="Z62" s="1"/>
      <c r="AA62" s="1"/>
      <c r="AB62" s="1"/>
      <c r="AC62" s="1"/>
      <c r="AD62" s="1"/>
    </row>
    <row r="63" ht="15" customHeight="1" spans="1:30">
      <c r="A63" s="22" t="str">
        <f>DASHBOARD!A15</f>
        <v/>
      </c>
      <c r="B63" s="23" t="str">
        <f>DASHBOARD!B15</f>
        <v/>
      </c>
      <c r="C63" s="22" t="str">
        <f>DASHBOARD!C15</f>
        <v/>
      </c>
      <c r="D63" s="24" t="str">
        <f>DASHBOARD!D15</f>
        <v/>
      </c>
      <c r="E63" s="22" t="str">
        <f>DASHBOARD!E15</f>
        <v/>
      </c>
      <c r="F63" s="24" t="str">
        <f>DASHBOARD!G15</f>
        <v/>
      </c>
      <c r="G63" s="24" t="str">
        <f>DASHBOARD!H15</f>
        <v/>
      </c>
      <c r="H63" s="22" t="str">
        <f>DASHBOARD!I15</f>
        <v/>
      </c>
      <c r="I63" s="1"/>
      <c r="J63" s="1"/>
      <c r="K63" s="1"/>
      <c r="L63" s="1"/>
      <c r="M63" s="1"/>
      <c r="N63" s="1"/>
      <c r="O63" s="1"/>
      <c r="P63" s="1"/>
      <c r="Q63" s="1"/>
      <c r="R63" s="1"/>
      <c r="S63" s="1"/>
      <c r="T63" s="1"/>
      <c r="U63" s="1"/>
      <c r="V63" s="1"/>
      <c r="W63" s="1"/>
      <c r="X63" s="1"/>
      <c r="Y63" s="1"/>
      <c r="Z63" s="1"/>
      <c r="AA63" s="1"/>
      <c r="AB63" s="1"/>
      <c r="AC63" s="1"/>
      <c r="AD63" s="1"/>
    </row>
    <row r="64" ht="15" customHeight="1" spans="1:30">
      <c r="A64" s="22" t="str">
        <f>DASHBOARD!A16</f>
        <v/>
      </c>
      <c r="B64" s="23" t="str">
        <f>DASHBOARD!B16</f>
        <v/>
      </c>
      <c r="C64" s="22" t="str">
        <f>DASHBOARD!C16</f>
        <v/>
      </c>
      <c r="D64" s="24" t="str">
        <f>DASHBOARD!D16</f>
        <v/>
      </c>
      <c r="E64" s="22" t="str">
        <f>DASHBOARD!E16</f>
        <v/>
      </c>
      <c r="F64" s="24" t="str">
        <f>DASHBOARD!G16</f>
        <v/>
      </c>
      <c r="G64" s="24" t="str">
        <f>DASHBOARD!H16</f>
        <v/>
      </c>
      <c r="H64" s="22" t="str">
        <f>DASHBOARD!I16</f>
        <v/>
      </c>
      <c r="I64" s="1"/>
      <c r="J64" s="1"/>
      <c r="K64" s="1"/>
      <c r="L64" s="1"/>
      <c r="M64" s="1"/>
      <c r="N64" s="1"/>
      <c r="O64" s="1"/>
      <c r="P64" s="1"/>
      <c r="Q64" s="1"/>
      <c r="R64" s="1"/>
      <c r="S64" s="1"/>
      <c r="T64" s="1"/>
      <c r="U64" s="1"/>
      <c r="V64" s="1"/>
      <c r="W64" s="1"/>
      <c r="X64" s="1"/>
      <c r="Y64" s="1"/>
      <c r="Z64" s="1"/>
      <c r="AA64" s="1"/>
      <c r="AB64" s="1"/>
      <c r="AC64" s="1"/>
      <c r="AD64" s="1"/>
    </row>
    <row r="65" ht="15" customHeight="1" spans="1:30">
      <c r="A65" s="25" t="str">
        <f>DASHBOARD!A17</f>
        <v/>
      </c>
      <c r="B65" s="26" t="str">
        <f>DASHBOARD!B17</f>
        <v/>
      </c>
      <c r="C65" s="27" t="str">
        <f>DASHBOARD!C17</f>
        <v/>
      </c>
      <c r="D65" s="28" t="str">
        <f>DASHBOARD!D17</f>
        <v/>
      </c>
      <c r="E65" s="27" t="str">
        <f>DASHBOARD!E17</f>
        <v/>
      </c>
      <c r="F65" s="28" t="str">
        <f>DASHBOARD!G17</f>
        <v/>
      </c>
      <c r="G65" s="28" t="str">
        <f>DASHBOARD!H17</f>
        <v/>
      </c>
      <c r="H65" s="27" t="str">
        <f>DASHBOARD!I17</f>
        <v/>
      </c>
      <c r="I65" s="1"/>
      <c r="J65" s="1"/>
      <c r="K65" s="1"/>
      <c r="L65" s="1"/>
      <c r="M65" s="1"/>
      <c r="N65" s="1"/>
      <c r="O65" s="1"/>
      <c r="P65" s="1"/>
      <c r="Q65" s="1"/>
      <c r="R65" s="1"/>
      <c r="S65" s="1"/>
      <c r="T65" s="1"/>
      <c r="U65" s="1"/>
      <c r="V65" s="1"/>
      <c r="W65" s="1"/>
      <c r="X65" s="1"/>
      <c r="Y65" s="1"/>
      <c r="Z65" s="1"/>
      <c r="AA65" s="1"/>
      <c r="AB65" s="1"/>
      <c r="AC65" s="1"/>
      <c r="AD65" s="1"/>
    </row>
    <row r="66" ht="15" customHeight="1" spans="1:30">
      <c r="A66" s="22" t="str">
        <f>DASHBOARD!A18</f>
        <v/>
      </c>
      <c r="B66" s="23" t="str">
        <f>DASHBOARD!B18</f>
        <v/>
      </c>
      <c r="C66" s="22" t="str">
        <f>DASHBOARD!C18</f>
        <v/>
      </c>
      <c r="D66" s="24" t="str">
        <f>DASHBOARD!D18</f>
        <v/>
      </c>
      <c r="E66" s="22" t="str">
        <f>DASHBOARD!E18</f>
        <v/>
      </c>
      <c r="F66" s="24" t="str">
        <f>DASHBOARD!G18</f>
        <v/>
      </c>
      <c r="G66" s="24" t="str">
        <f>DASHBOARD!H18</f>
        <v/>
      </c>
      <c r="H66" s="22" t="str">
        <f>DASHBOARD!I18</f>
        <v/>
      </c>
      <c r="I66" s="1"/>
      <c r="J66" s="1"/>
      <c r="K66" s="1"/>
      <c r="L66" s="1"/>
      <c r="M66" s="1"/>
      <c r="N66" s="1"/>
      <c r="O66" s="1"/>
      <c r="P66" s="1"/>
      <c r="Q66" s="1"/>
      <c r="R66" s="1"/>
      <c r="S66" s="1"/>
      <c r="T66" s="1"/>
      <c r="U66" s="1"/>
      <c r="V66" s="1"/>
      <c r="W66" s="1"/>
      <c r="X66" s="1"/>
      <c r="Y66" s="1"/>
      <c r="Z66" s="1"/>
      <c r="AA66" s="1"/>
      <c r="AB66" s="1"/>
      <c r="AC66" s="1"/>
      <c r="AD66" s="1"/>
    </row>
    <row r="67" ht="15" customHeight="1" spans="1:30">
      <c r="A67" s="22" t="str">
        <f>DASHBOARD!A19</f>
        <v/>
      </c>
      <c r="B67" s="23" t="str">
        <f>DASHBOARD!B19</f>
        <v/>
      </c>
      <c r="C67" s="22" t="str">
        <f>DASHBOARD!C19</f>
        <v/>
      </c>
      <c r="D67" s="24" t="str">
        <f>DASHBOARD!D19</f>
        <v/>
      </c>
      <c r="E67" s="22" t="str">
        <f>DASHBOARD!E19</f>
        <v/>
      </c>
      <c r="F67" s="24" t="str">
        <f>DASHBOARD!G19</f>
        <v/>
      </c>
      <c r="G67" s="24" t="str">
        <f>DASHBOARD!H19</f>
        <v/>
      </c>
      <c r="H67" s="22" t="str">
        <f>DASHBOARD!I19</f>
        <v/>
      </c>
      <c r="I67" s="1"/>
      <c r="J67" s="1"/>
      <c r="K67" s="1"/>
      <c r="L67" s="1"/>
      <c r="M67" s="1"/>
      <c r="N67" s="1"/>
      <c r="O67" s="1"/>
      <c r="P67" s="1"/>
      <c r="Q67" s="1"/>
      <c r="R67" s="1"/>
      <c r="S67" s="1"/>
      <c r="T67" s="1"/>
      <c r="U67" s="1"/>
      <c r="V67" s="1"/>
      <c r="W67" s="1"/>
      <c r="X67" s="1"/>
      <c r="Y67" s="1"/>
      <c r="Z67" s="1"/>
      <c r="AA67" s="1"/>
      <c r="AB67" s="1"/>
      <c r="AC67" s="1"/>
      <c r="AD67" s="1"/>
    </row>
    <row r="68" ht="15" customHeight="1" spans="1:30">
      <c r="A68" s="22" t="str">
        <f>DASHBOARD!A20</f>
        <v/>
      </c>
      <c r="B68" s="23" t="str">
        <f>DASHBOARD!B20</f>
        <v/>
      </c>
      <c r="C68" s="22" t="str">
        <f>DASHBOARD!C20</f>
        <v/>
      </c>
      <c r="D68" s="24" t="str">
        <f>DASHBOARD!D20</f>
        <v/>
      </c>
      <c r="E68" s="22" t="str">
        <f>DASHBOARD!E20</f>
        <v/>
      </c>
      <c r="F68" s="24" t="str">
        <f>DASHBOARD!G20</f>
        <v/>
      </c>
      <c r="G68" s="24" t="str">
        <f>DASHBOARD!H20</f>
        <v/>
      </c>
      <c r="H68" s="22" t="str">
        <f>DASHBOARD!I20</f>
        <v/>
      </c>
      <c r="I68" s="1"/>
      <c r="J68" s="1"/>
      <c r="K68" s="1"/>
      <c r="L68" s="1"/>
      <c r="M68" s="1"/>
      <c r="N68" s="1"/>
      <c r="O68" s="1"/>
      <c r="P68" s="1"/>
      <c r="Q68" s="1"/>
      <c r="R68" s="1"/>
      <c r="S68" s="1"/>
      <c r="T68" s="1"/>
      <c r="U68" s="1"/>
      <c r="V68" s="1"/>
      <c r="W68" s="1"/>
      <c r="X68" s="1"/>
      <c r="Y68" s="1"/>
      <c r="Z68" s="1"/>
      <c r="AA68" s="1"/>
      <c r="AB68" s="1"/>
      <c r="AC68" s="1"/>
      <c r="AD68" s="1"/>
    </row>
    <row r="69" ht="15" customHeight="1" spans="1:30">
      <c r="A69" s="22" t="str">
        <f>DASHBOARD!A21</f>
        <v/>
      </c>
      <c r="B69" s="23" t="str">
        <f>DASHBOARD!B21</f>
        <v/>
      </c>
      <c r="C69" s="22" t="str">
        <f>DASHBOARD!C21</f>
        <v/>
      </c>
      <c r="D69" s="24" t="str">
        <f>DASHBOARD!D21</f>
        <v/>
      </c>
      <c r="E69" s="22" t="str">
        <f>DASHBOARD!E21</f>
        <v/>
      </c>
      <c r="F69" s="24" t="str">
        <f>DASHBOARD!G21</f>
        <v/>
      </c>
      <c r="G69" s="24" t="str">
        <f>DASHBOARD!H21</f>
        <v/>
      </c>
      <c r="H69" s="22" t="str">
        <f>DASHBOARD!I21</f>
        <v/>
      </c>
      <c r="I69" s="1"/>
      <c r="J69" s="1"/>
      <c r="K69" s="1"/>
      <c r="L69" s="1"/>
      <c r="M69" s="1"/>
      <c r="N69" s="1"/>
      <c r="O69" s="1"/>
      <c r="P69" s="1"/>
      <c r="Q69" s="1"/>
      <c r="R69" s="1"/>
      <c r="S69" s="1"/>
      <c r="T69" s="1"/>
      <c r="U69" s="1"/>
      <c r="V69" s="1"/>
      <c r="W69" s="1"/>
      <c r="X69" s="1"/>
      <c r="Y69" s="1"/>
      <c r="Z69" s="1"/>
      <c r="AA69" s="1"/>
      <c r="AB69" s="1"/>
      <c r="AC69" s="1"/>
      <c r="AD69" s="1"/>
    </row>
    <row r="70" ht="15" customHeight="1" spans="1:30">
      <c r="A70" s="22" t="str">
        <f>DASHBOARD!A22</f>
        <v/>
      </c>
      <c r="B70" s="23" t="str">
        <f>DASHBOARD!B22</f>
        <v/>
      </c>
      <c r="C70" s="22" t="str">
        <f>DASHBOARD!C22</f>
        <v/>
      </c>
      <c r="D70" s="24" t="str">
        <f>DASHBOARD!D22</f>
        <v/>
      </c>
      <c r="E70" s="22" t="str">
        <f>DASHBOARD!E22</f>
        <v/>
      </c>
      <c r="F70" s="24" t="str">
        <f>DASHBOARD!G22</f>
        <v/>
      </c>
      <c r="G70" s="24" t="str">
        <f>DASHBOARD!H22</f>
        <v/>
      </c>
      <c r="H70" s="22" t="str">
        <f>DASHBOARD!I22</f>
        <v/>
      </c>
      <c r="I70" s="1"/>
      <c r="J70" s="1"/>
      <c r="K70" s="1"/>
      <c r="L70" s="1"/>
      <c r="M70" s="1"/>
      <c r="N70" s="1"/>
      <c r="O70" s="1"/>
      <c r="P70" s="1"/>
      <c r="Q70" s="1"/>
      <c r="R70" s="1"/>
      <c r="S70" s="1"/>
      <c r="T70" s="1"/>
      <c r="U70" s="1"/>
      <c r="V70" s="1"/>
      <c r="W70" s="1"/>
      <c r="X70" s="1"/>
      <c r="Y70" s="1"/>
      <c r="Z70" s="1"/>
      <c r="AA70" s="1"/>
      <c r="AB70" s="1"/>
      <c r="AC70" s="1"/>
      <c r="AD70" s="1"/>
    </row>
    <row r="71" ht="15" customHeight="1" spans="1:30">
      <c r="A71" s="27" t="str">
        <f>DASHBOARD!A23</f>
        <v/>
      </c>
      <c r="B71" s="26" t="str">
        <f>DASHBOARD!B23</f>
        <v/>
      </c>
      <c r="C71" s="27" t="str">
        <f>DASHBOARD!C23</f>
        <v/>
      </c>
      <c r="D71" s="28" t="str">
        <f>DASHBOARD!D23</f>
        <v/>
      </c>
      <c r="E71" s="27" t="str">
        <f>DASHBOARD!E23</f>
        <v/>
      </c>
      <c r="F71" s="28" t="str">
        <f>DASHBOARD!G23</f>
        <v/>
      </c>
      <c r="G71" s="28" t="str">
        <f>DASHBOARD!H23</f>
        <v/>
      </c>
      <c r="H71" s="27" t="str">
        <f>DASHBOARD!I23</f>
        <v/>
      </c>
      <c r="I71" s="12"/>
      <c r="J71" s="12"/>
      <c r="K71" s="12"/>
      <c r="L71" s="12"/>
      <c r="M71" s="12"/>
      <c r="N71" s="12"/>
    </row>
    <row r="72" ht="15" customHeight="1" spans="1:30">
      <c r="A72" s="27" t="str">
        <f>DASHBOARD!A24</f>
        <v/>
      </c>
      <c r="B72" s="26" t="str">
        <f>DASHBOARD!B24</f>
        <v/>
      </c>
      <c r="C72" s="27" t="str">
        <f>DASHBOARD!C24</f>
        <v/>
      </c>
      <c r="D72" s="28" t="str">
        <f>DASHBOARD!D24</f>
        <v/>
      </c>
      <c r="E72" s="27" t="str">
        <f>DASHBOARD!E24</f>
        <v/>
      </c>
      <c r="F72" s="28" t="str">
        <f>DASHBOARD!G24</f>
        <v/>
      </c>
      <c r="G72" s="28" t="str">
        <f>DASHBOARD!H24</f>
        <v/>
      </c>
      <c r="H72" s="27" t="str">
        <f>DASHBOARD!I24</f>
        <v/>
      </c>
      <c r="I72" s="12"/>
      <c r="J72" s="12"/>
      <c r="K72" s="12"/>
      <c r="L72" s="12"/>
      <c r="M72" s="12"/>
      <c r="N72" s="12"/>
    </row>
    <row r="73" ht="15" customHeight="1" spans="1:30">
      <c r="A73" s="27" t="str">
        <f>DASHBOARD!A25</f>
        <v/>
      </c>
      <c r="B73" s="26" t="str">
        <f>DASHBOARD!B25</f>
        <v/>
      </c>
      <c r="C73" s="27" t="str">
        <f>DASHBOARD!C25</f>
        <v/>
      </c>
      <c r="D73" s="28" t="str">
        <f>DASHBOARD!D25</f>
        <v/>
      </c>
      <c r="E73" s="27" t="str">
        <f>DASHBOARD!E25</f>
        <v/>
      </c>
      <c r="F73" s="28" t="str">
        <f>DASHBOARD!G25</f>
        <v/>
      </c>
      <c r="G73" s="28" t="str">
        <f>DASHBOARD!H25</f>
        <v/>
      </c>
      <c r="H73" s="27" t="str">
        <f>DASHBOARD!I25</f>
        <v/>
      </c>
      <c r="I73" s="12"/>
      <c r="J73" s="12"/>
      <c r="K73" s="12"/>
      <c r="L73" s="12"/>
      <c r="M73" s="12"/>
      <c r="N73" s="12"/>
    </row>
    <row r="74" ht="15" customHeight="1" spans="1:30">
      <c r="A74" s="27" t="str">
        <f>DASHBOARD!A26</f>
        <v/>
      </c>
      <c r="B74" s="26" t="str">
        <f>DASHBOARD!B26</f>
        <v/>
      </c>
      <c r="C74" s="27" t="str">
        <f>DASHBOARD!C26</f>
        <v/>
      </c>
      <c r="D74" s="28" t="str">
        <f>DASHBOARD!D26</f>
        <v/>
      </c>
      <c r="E74" s="27" t="str">
        <f>DASHBOARD!E26</f>
        <v/>
      </c>
      <c r="F74" s="28" t="str">
        <f>DASHBOARD!G26</f>
        <v/>
      </c>
      <c r="G74" s="28" t="str">
        <f>DASHBOARD!H26</f>
        <v/>
      </c>
      <c r="H74" s="27" t="str">
        <f>DASHBOARD!I26</f>
        <v/>
      </c>
      <c r="I74" s="12"/>
      <c r="J74" s="12"/>
      <c r="K74" s="12"/>
      <c r="L74" s="12"/>
      <c r="M74" s="12"/>
      <c r="N74" s="12"/>
    </row>
    <row r="75" ht="15" customHeight="1" spans="1:30">
      <c r="A75" s="27" t="str">
        <f>DASHBOARD!A27</f>
        <v/>
      </c>
      <c r="B75" s="26" t="str">
        <f>DASHBOARD!B27</f>
        <v/>
      </c>
      <c r="C75" s="27" t="str">
        <f>DASHBOARD!C27</f>
        <v/>
      </c>
      <c r="D75" s="28" t="str">
        <f>DASHBOARD!D27</f>
        <v/>
      </c>
      <c r="E75" s="27" t="str">
        <f>DASHBOARD!E27</f>
        <v/>
      </c>
      <c r="F75" s="28" t="str">
        <f>DASHBOARD!G27</f>
        <v/>
      </c>
      <c r="G75" s="28" t="str">
        <f>DASHBOARD!H27</f>
        <v/>
      </c>
      <c r="H75" s="27" t="str">
        <f>DASHBOARD!I27</f>
        <v/>
      </c>
      <c r="I75" s="12"/>
      <c r="J75" s="12"/>
      <c r="K75" s="12"/>
      <c r="L75" s="12"/>
      <c r="M75" s="12"/>
      <c r="N75" s="12"/>
    </row>
    <row r="76" ht="15" customHeight="1" spans="1:30">
      <c r="A76" s="27" t="str">
        <f>DASHBOARD!A28</f>
        <v/>
      </c>
      <c r="B76" s="26" t="str">
        <f>DASHBOARD!B28</f>
        <v/>
      </c>
      <c r="C76" s="27" t="str">
        <f>DASHBOARD!C28</f>
        <v/>
      </c>
      <c r="D76" s="28" t="str">
        <f>DASHBOARD!D28</f>
        <v/>
      </c>
      <c r="E76" s="27" t="str">
        <f>DASHBOARD!E28</f>
        <v/>
      </c>
      <c r="F76" s="28" t="str">
        <f>DASHBOARD!G28</f>
        <v/>
      </c>
      <c r="G76" s="28" t="str">
        <f>DASHBOARD!H28</f>
        <v/>
      </c>
      <c r="H76" s="27" t="str">
        <f>DASHBOARD!I28</f>
        <v/>
      </c>
      <c r="I76" s="12"/>
      <c r="J76" s="12"/>
      <c r="K76" s="12"/>
      <c r="L76" s="12"/>
      <c r="M76" s="12"/>
      <c r="N76" s="12"/>
    </row>
    <row r="77" ht="15" customHeight="1" spans="1:30">
      <c r="A77" s="27" t="str">
        <f>DASHBOARD!A29</f>
        <v/>
      </c>
      <c r="B77" s="26" t="str">
        <f>DASHBOARD!B29</f>
        <v/>
      </c>
      <c r="C77" s="27" t="str">
        <f>DASHBOARD!C29</f>
        <v/>
      </c>
      <c r="D77" s="28" t="str">
        <f>DASHBOARD!D29</f>
        <v/>
      </c>
      <c r="E77" s="27" t="str">
        <f>DASHBOARD!E29</f>
        <v/>
      </c>
      <c r="F77" s="28" t="str">
        <f>DASHBOARD!G29</f>
        <v/>
      </c>
      <c r="G77" s="28" t="str">
        <f>DASHBOARD!H29</f>
        <v/>
      </c>
      <c r="H77" s="27" t="str">
        <f>DASHBOARD!I29</f>
        <v/>
      </c>
      <c r="I77" s="12"/>
      <c r="J77" s="12"/>
      <c r="K77" s="12"/>
      <c r="L77" s="12"/>
      <c r="M77" s="12"/>
      <c r="N77" s="12"/>
    </row>
    <row r="78" ht="15" customHeight="1" spans="1:30">
      <c r="A78" s="27" t="str">
        <f>DASHBOARD!A30</f>
        <v/>
      </c>
      <c r="B78" s="26" t="str">
        <f>DASHBOARD!B30</f>
        <v/>
      </c>
      <c r="C78" s="27" t="str">
        <f>DASHBOARD!C30</f>
        <v/>
      </c>
      <c r="D78" s="28" t="str">
        <f>DASHBOARD!D30</f>
        <v/>
      </c>
      <c r="E78" s="27" t="str">
        <f>DASHBOARD!E30</f>
        <v/>
      </c>
      <c r="F78" s="28" t="str">
        <f>DASHBOARD!G30</f>
        <v/>
      </c>
      <c r="G78" s="28" t="str">
        <f>DASHBOARD!H30</f>
        <v/>
      </c>
      <c r="H78" s="27" t="str">
        <f>DASHBOARD!I30</f>
        <v/>
      </c>
      <c r="I78" s="12"/>
      <c r="J78" s="12"/>
      <c r="K78" s="12"/>
      <c r="L78" s="12"/>
      <c r="M78" s="12"/>
      <c r="N78" s="12"/>
    </row>
    <row r="79" ht="15" customHeight="1" spans="1:30">
      <c r="A79" s="12"/>
      <c r="B79" s="12"/>
      <c r="C79" s="12"/>
      <c r="D79" s="12"/>
      <c r="E79" s="12"/>
      <c r="F79" s="12"/>
      <c r="G79" s="12"/>
      <c r="H79" s="12"/>
      <c r="I79" s="12"/>
      <c r="J79" s="12"/>
      <c r="K79" s="12"/>
      <c r="L79" s="12"/>
      <c r="M79" s="12"/>
      <c r="N79" s="12"/>
    </row>
    <row r="80" ht="15" customHeight="1" spans="1:30">
      <c r="A80" s="12"/>
      <c r="B80" s="12"/>
      <c r="C80" s="12"/>
      <c r="D80" s="12"/>
      <c r="E80" s="12"/>
      <c r="F80" s="12"/>
      <c r="G80" s="12"/>
      <c r="H80" s="12"/>
      <c r="I80" s="12"/>
      <c r="J80" s="12"/>
      <c r="K80" s="12"/>
      <c r="L80" s="12"/>
      <c r="M80" s="12"/>
      <c r="N80" s="12"/>
    </row>
    <row r="81" ht="15" customHeight="1" spans="1:14">
      <c r="A81" s="12"/>
      <c r="B81" s="12"/>
      <c r="C81" s="12"/>
      <c r="D81" s="12"/>
      <c r="E81" s="12"/>
      <c r="F81" s="12"/>
      <c r="G81" s="12"/>
      <c r="H81" s="12"/>
      <c r="I81" s="12"/>
      <c r="J81" s="12"/>
      <c r="K81" s="12"/>
      <c r="L81" s="12"/>
      <c r="M81" s="12"/>
      <c r="N81" s="12"/>
    </row>
    <row r="82" ht="15.75" customHeight="1" spans="1:14">
      <c r="A82" s="13" t="s">
        <v>259</v>
      </c>
      <c r="B82" s="12"/>
      <c r="C82" s="12"/>
      <c r="D82" s="12"/>
      <c r="E82" s="12"/>
      <c r="F82" s="12"/>
      <c r="G82" s="12"/>
      <c r="H82" s="12"/>
      <c r="I82" s="12"/>
      <c r="J82" s="12"/>
      <c r="K82" s="12"/>
      <c r="L82" s="12"/>
      <c r="M82" s="12"/>
      <c r="N82" s="12"/>
    </row>
    <row r="83" ht="15" customHeight="1" spans="1:14">
      <c r="A83" s="12"/>
      <c r="B83" s="12"/>
      <c r="C83" s="12"/>
      <c r="D83" s="12"/>
      <c r="E83" s="12"/>
      <c r="F83" s="12"/>
      <c r="G83" s="12"/>
      <c r="H83" s="12"/>
      <c r="I83" s="12"/>
      <c r="J83" s="12"/>
      <c r="K83" s="12"/>
      <c r="L83" s="12"/>
      <c r="M83" s="12"/>
      <c r="N83" s="12"/>
    </row>
    <row r="84" ht="15" customHeight="1" spans="1:14">
      <c r="A84" s="29" t="s">
        <v>260</v>
      </c>
      <c r="B84" s="29" t="s">
        <v>261</v>
      </c>
      <c r="C84" s="29" t="s">
        <v>262</v>
      </c>
      <c r="D84" s="29" t="s">
        <v>263</v>
      </c>
      <c r="E84" s="12"/>
      <c r="F84" s="12"/>
      <c r="G84" s="12"/>
      <c r="H84" s="12"/>
      <c r="I84" s="12"/>
      <c r="J84" s="12"/>
      <c r="K84" s="12"/>
      <c r="L84" s="12"/>
      <c r="M84" s="12"/>
      <c r="N84" s="12"/>
    </row>
    <row r="85" ht="27.75" customHeight="1" spans="1:14">
      <c r="A85" s="30"/>
      <c r="B85" s="30"/>
      <c r="C85" s="30"/>
      <c r="D85" s="30"/>
      <c r="E85" s="12"/>
      <c r="F85" s="12"/>
      <c r="G85" s="12"/>
      <c r="H85" s="12"/>
      <c r="I85" s="12"/>
      <c r="J85" s="12"/>
      <c r="K85" s="12"/>
      <c r="L85" s="12"/>
      <c r="M85" s="12"/>
      <c r="N85" s="12"/>
    </row>
    <row r="86" ht="27.75" customHeight="1" spans="1:14">
      <c r="A86" s="30"/>
      <c r="B86" s="30"/>
      <c r="C86" s="30"/>
      <c r="D86" s="30"/>
      <c r="E86" s="12"/>
      <c r="F86" s="12"/>
      <c r="G86" s="12"/>
      <c r="H86" s="12"/>
      <c r="I86" s="12"/>
      <c r="J86" s="12"/>
      <c r="K86" s="12"/>
      <c r="L86" s="12"/>
      <c r="M86" s="12"/>
      <c r="N86" s="12"/>
    </row>
    <row r="87" ht="27.75" customHeight="1" spans="1:14">
      <c r="A87" s="30"/>
      <c r="B87" s="30"/>
      <c r="C87" s="30"/>
      <c r="D87" s="30"/>
      <c r="E87" s="12"/>
      <c r="F87" s="12"/>
      <c r="G87" s="12"/>
      <c r="H87" s="12"/>
      <c r="I87" s="12"/>
      <c r="J87" s="12"/>
      <c r="K87" s="12"/>
      <c r="L87" s="12"/>
      <c r="M87" s="12"/>
      <c r="N87" s="12"/>
    </row>
    <row r="88" ht="27.75" customHeight="1" spans="1:14">
      <c r="A88" s="30"/>
      <c r="B88" s="30"/>
      <c r="C88" s="30"/>
      <c r="D88" s="30"/>
      <c r="E88" s="12"/>
      <c r="F88" s="12"/>
      <c r="G88" s="12"/>
      <c r="H88" s="12"/>
      <c r="I88" s="12"/>
      <c r="J88" s="12"/>
      <c r="K88" s="12"/>
      <c r="L88" s="12"/>
      <c r="M88" s="12"/>
      <c r="N88" s="12"/>
    </row>
    <row r="89" ht="27.75" customHeight="1" spans="1:14">
      <c r="A89" s="30"/>
      <c r="B89" s="30"/>
      <c r="C89" s="30"/>
      <c r="D89" s="30"/>
      <c r="E89" s="12"/>
      <c r="F89" s="12"/>
      <c r="G89" s="12"/>
      <c r="H89" s="12"/>
      <c r="I89" s="12"/>
      <c r="J89" s="12"/>
      <c r="K89" s="12"/>
      <c r="L89" s="12"/>
      <c r="M89" s="12"/>
      <c r="N89" s="12"/>
    </row>
    <row r="90" ht="27.75" customHeight="1" spans="1:14">
      <c r="A90" s="30"/>
      <c r="B90" s="30"/>
      <c r="C90" s="30"/>
      <c r="D90" s="30"/>
      <c r="E90" s="12"/>
      <c r="F90" s="12"/>
      <c r="G90" s="12"/>
      <c r="H90" s="12"/>
      <c r="I90" s="12"/>
      <c r="J90" s="12"/>
      <c r="K90" s="12"/>
      <c r="L90" s="12"/>
      <c r="M90" s="12"/>
      <c r="N90" s="12"/>
    </row>
    <row r="91" ht="15" customHeight="1" spans="1:14">
      <c r="A91" s="12"/>
      <c r="B91" s="12"/>
      <c r="C91" s="12"/>
      <c r="D91" s="12"/>
      <c r="E91" s="12"/>
      <c r="F91" s="12"/>
      <c r="G91" s="12"/>
      <c r="H91" s="12"/>
      <c r="I91" s="12"/>
      <c r="J91" s="12"/>
      <c r="K91" s="12"/>
      <c r="L91" s="12"/>
      <c r="M91" s="12"/>
      <c r="N91" s="12"/>
    </row>
    <row r="92" ht="15" customHeight="1" spans="1:14">
      <c r="A92" s="12"/>
      <c r="B92" s="12"/>
      <c r="C92" s="12"/>
      <c r="D92" s="12"/>
      <c r="E92" s="12"/>
      <c r="F92" s="12"/>
      <c r="G92" s="12"/>
      <c r="H92" s="12"/>
      <c r="I92" s="12"/>
      <c r="J92" s="12"/>
      <c r="K92" s="12"/>
      <c r="L92" s="12"/>
      <c r="M92" s="12"/>
      <c r="N92" s="12"/>
    </row>
    <row r="93" ht="15" customHeight="1" spans="1:14">
      <c r="A93" s="12"/>
      <c r="B93" s="12"/>
      <c r="C93" s="12"/>
      <c r="D93" s="12"/>
      <c r="E93" s="12"/>
      <c r="F93" s="12"/>
      <c r="G93" s="12"/>
      <c r="H93" s="12"/>
      <c r="I93" s="12"/>
      <c r="J93" s="12"/>
      <c r="K93" s="12"/>
      <c r="L93" s="12"/>
      <c r="M93" s="12"/>
      <c r="N93" s="12"/>
    </row>
    <row r="94" ht="15" customHeight="1" spans="1:14">
      <c r="A94" s="12"/>
      <c r="B94" s="12"/>
      <c r="C94" s="12"/>
      <c r="D94" s="12"/>
      <c r="E94" s="12"/>
      <c r="F94" s="12"/>
      <c r="G94" s="12"/>
      <c r="H94" s="12"/>
      <c r="I94" s="12"/>
      <c r="J94" s="12"/>
      <c r="K94" s="12"/>
      <c r="L94" s="12"/>
      <c r="M94" s="12"/>
      <c r="N94" s="12"/>
    </row>
    <row r="95" ht="15" customHeight="1" spans="1:14">
      <c r="A95" s="12"/>
      <c r="B95" s="12"/>
      <c r="C95" s="12"/>
      <c r="D95" s="12"/>
      <c r="E95" s="12"/>
      <c r="F95" s="12"/>
      <c r="G95" s="12"/>
      <c r="H95" s="12"/>
      <c r="I95" s="12"/>
      <c r="J95" s="12"/>
      <c r="K95" s="12"/>
      <c r="L95" s="12"/>
      <c r="M95" s="12"/>
      <c r="N95" s="12"/>
    </row>
    <row r="96" ht="15" customHeight="1" spans="1:14">
      <c r="A96" s="12"/>
      <c r="B96" s="12"/>
      <c r="C96" s="12"/>
      <c r="D96" s="12"/>
      <c r="E96" s="12"/>
      <c r="F96" s="12"/>
      <c r="G96" s="12"/>
      <c r="H96" s="12"/>
      <c r="I96" s="12"/>
      <c r="J96" s="12"/>
      <c r="K96" s="12"/>
      <c r="L96" s="12"/>
      <c r="M96" s="12"/>
      <c r="N96" s="12"/>
    </row>
    <row r="97" ht="15" customHeight="1" spans="1:14">
      <c r="A97" s="12"/>
      <c r="B97" s="12"/>
      <c r="C97" s="12"/>
      <c r="D97" s="12"/>
      <c r="E97" s="12"/>
      <c r="F97" s="12"/>
      <c r="G97" s="12"/>
      <c r="H97" s="12"/>
      <c r="I97" s="12"/>
      <c r="J97" s="12"/>
      <c r="K97" s="12"/>
      <c r="L97" s="12"/>
      <c r="M97" s="12"/>
      <c r="N97" s="12"/>
    </row>
    <row r="98" ht="15" customHeight="1" spans="1:14">
      <c r="A98" s="12"/>
      <c r="B98" s="12"/>
      <c r="C98" s="12"/>
      <c r="D98" s="12"/>
      <c r="E98" s="12"/>
      <c r="F98" s="12"/>
      <c r="G98" s="12"/>
      <c r="H98" s="12"/>
      <c r="I98" s="12"/>
      <c r="J98" s="12"/>
      <c r="K98" s="12"/>
      <c r="L98" s="12"/>
      <c r="M98" s="12"/>
      <c r="N98" s="12"/>
    </row>
    <row r="99" ht="15" customHeight="1" spans="1:14">
      <c r="A99" s="12"/>
      <c r="B99" s="12"/>
      <c r="C99" s="12"/>
      <c r="D99" s="12"/>
      <c r="E99" s="12"/>
      <c r="F99" s="12"/>
      <c r="G99" s="12"/>
      <c r="H99" s="12"/>
      <c r="I99" s="12"/>
      <c r="J99" s="12"/>
      <c r="K99" s="12"/>
      <c r="L99" s="12"/>
      <c r="M99" s="12"/>
      <c r="N99" s="12"/>
    </row>
    <row r="100" ht="15" customHeight="1" spans="1:14">
      <c r="A100" s="12"/>
      <c r="B100" s="12"/>
      <c r="C100" s="12"/>
      <c r="D100" s="12"/>
      <c r="E100" s="12"/>
      <c r="F100" s="12"/>
      <c r="G100" s="12"/>
      <c r="H100" s="12"/>
      <c r="I100" s="12"/>
      <c r="J100" s="12"/>
      <c r="K100" s="12"/>
      <c r="L100" s="12"/>
      <c r="M100" s="12"/>
      <c r="N100" s="12"/>
    </row>
  </sheetData>
  <mergeCells count="32">
    <mergeCell ref="A1:L1"/>
    <mergeCell ref="A2:L2"/>
    <mergeCell ref="A7:H7"/>
    <mergeCell ref="A10:H10"/>
    <mergeCell ref="A13:H13"/>
    <mergeCell ref="A16:H16"/>
    <mergeCell ref="A19:H19"/>
    <mergeCell ref="A22:H22"/>
    <mergeCell ref="A25:H25"/>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51:H51"/>
    <mergeCell ref="A54:H54"/>
  </mergeCells>
  <pageMargins left="0.7" right="0.7" top="0.75" bottom="0.75"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ySplit="4" topLeftCell="A5" activePane="bottomLeft" state="frozen"/>
      <selection/>
      <selection pane="bottomLeft" activeCell="A1" sqref="A1:L1"/>
    </sheetView>
  </sheetViews>
  <sheetFormatPr defaultColWidth="8.68181818181818" defaultRowHeight="14.5"/>
  <cols>
    <col min="1" max="2" width="30" style="1" customWidth="1"/>
    <col min="3" max="3" width="32" style="1" customWidth="1"/>
    <col min="4" max="4" width="40" style="1" customWidth="1"/>
  </cols>
  <sheetData>
    <row r="1" ht="30" customHeight="1" spans="1:30">
      <c r="A1" s="2" t="s">
        <v>264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265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3"/>
      <c r="J3" s="3"/>
      <c r="K3" s="3"/>
      <c r="L3" s="3"/>
      <c r="M3" s="3"/>
      <c r="N3" s="3"/>
      <c r="O3" s="3"/>
      <c r="P3" s="3"/>
      <c r="Q3" s="3"/>
      <c r="R3" s="3"/>
      <c r="S3" s="3"/>
      <c r="T3" s="3"/>
      <c r="U3" s="3"/>
      <c r="V3" s="3"/>
      <c r="W3" s="3"/>
      <c r="X3" s="3"/>
      <c r="Y3" s="3"/>
      <c r="Z3" s="3"/>
      <c r="AA3" s="3"/>
      <c r="AB3" s="3"/>
      <c r="AC3" s="3"/>
      <c r="AD3" s="3"/>
    </row>
    <row r="4" ht="15" customHeight="1" spans="1:30">
      <c r="A4" s="6" t="s">
        <v>266</v>
      </c>
      <c r="B4" s="6" t="s">
        <v>267</v>
      </c>
      <c r="C4" s="6" t="s">
        <v>268</v>
      </c>
      <c r="D4" s="6" t="s">
        <v>117</v>
      </c>
      <c r="E4" s="3"/>
      <c r="F4" s="3"/>
      <c r="G4" s="3"/>
      <c r="H4" s="3"/>
      <c r="I4" s="3"/>
      <c r="J4" s="3"/>
      <c r="K4" s="3"/>
      <c r="L4" s="3"/>
      <c r="M4" s="3"/>
      <c r="N4" s="3"/>
      <c r="O4" s="3"/>
      <c r="P4" s="3"/>
      <c r="Q4" s="3"/>
      <c r="R4" s="3"/>
      <c r="S4" s="3"/>
      <c r="T4" s="3"/>
      <c r="U4" s="3"/>
      <c r="V4" s="3"/>
      <c r="W4" s="3"/>
      <c r="X4" s="3"/>
      <c r="Y4" s="3"/>
      <c r="Z4" s="3"/>
      <c r="AA4" s="3"/>
      <c r="AB4" s="3"/>
      <c r="AC4" s="3"/>
      <c r="AD4" s="3"/>
    </row>
    <row r="5" ht="23.25" customHeight="1" spans="1:30">
      <c r="A5" s="9" t="s">
        <v>269</v>
      </c>
      <c r="B5" s="9" t="s">
        <v>270</v>
      </c>
      <c r="C5" s="9" t="s">
        <v>271</v>
      </c>
      <c r="D5" s="9" t="s">
        <v>272</v>
      </c>
      <c r="E5" s="3"/>
      <c r="F5" s="3"/>
      <c r="G5" s="3"/>
      <c r="H5" s="3"/>
      <c r="I5" s="3"/>
      <c r="J5" s="3"/>
      <c r="K5" s="3"/>
      <c r="L5" s="3"/>
      <c r="M5" s="3"/>
      <c r="N5" s="3"/>
      <c r="O5" s="3"/>
      <c r="P5" s="3"/>
      <c r="Q5" s="3"/>
      <c r="R5" s="3"/>
      <c r="S5" s="3"/>
      <c r="T5" s="3"/>
      <c r="U5" s="3"/>
      <c r="V5" s="3"/>
      <c r="W5" s="3"/>
      <c r="X5" s="3"/>
      <c r="Y5" s="3"/>
      <c r="Z5" s="3"/>
      <c r="AA5" s="3"/>
      <c r="AB5" s="3"/>
      <c r="AC5" s="3"/>
      <c r="AD5" s="3"/>
    </row>
    <row r="6" ht="34.5" customHeight="1" spans="1:30">
      <c r="A6" s="9" t="s">
        <v>273</v>
      </c>
      <c r="B6" s="9" t="s">
        <v>274</v>
      </c>
      <c r="C6" s="9" t="s">
        <v>275</v>
      </c>
      <c r="D6" s="9" t="s">
        <v>276</v>
      </c>
      <c r="E6" s="3"/>
      <c r="F6" s="3"/>
      <c r="G6" s="3"/>
      <c r="H6" s="3"/>
      <c r="I6" s="3"/>
      <c r="J6" s="3"/>
      <c r="K6" s="3"/>
      <c r="L6" s="3"/>
      <c r="M6" s="3"/>
      <c r="N6" s="3"/>
      <c r="O6" s="3"/>
      <c r="P6" s="3"/>
      <c r="Q6" s="3"/>
      <c r="R6" s="3"/>
      <c r="S6" s="3"/>
      <c r="T6" s="3"/>
      <c r="U6" s="3"/>
      <c r="V6" s="3"/>
      <c r="W6" s="3"/>
      <c r="X6" s="3"/>
      <c r="Y6" s="3"/>
      <c r="Z6" s="3"/>
      <c r="AA6" s="3"/>
      <c r="AB6" s="3"/>
      <c r="AC6" s="3"/>
      <c r="AD6" s="3"/>
    </row>
    <row r="7" ht="23.25" customHeight="1" spans="1:30">
      <c r="A7" s="9" t="s">
        <v>277</v>
      </c>
      <c r="B7" s="9" t="s">
        <v>278</v>
      </c>
      <c r="C7" s="9" t="s">
        <v>275</v>
      </c>
      <c r="D7" s="9" t="s">
        <v>279</v>
      </c>
      <c r="E7" s="3"/>
      <c r="F7" s="3"/>
      <c r="G7" s="3"/>
      <c r="H7" s="3"/>
      <c r="I7" s="3"/>
      <c r="J7" s="3"/>
      <c r="K7" s="3"/>
      <c r="L7" s="3"/>
      <c r="M7" s="3"/>
      <c r="N7" s="3"/>
      <c r="O7" s="3"/>
      <c r="P7" s="3"/>
      <c r="Q7" s="3"/>
      <c r="R7" s="3"/>
      <c r="S7" s="3"/>
      <c r="T7" s="3"/>
      <c r="U7" s="3"/>
      <c r="V7" s="3"/>
      <c r="W7" s="3"/>
      <c r="X7" s="3"/>
      <c r="Y7" s="3"/>
      <c r="Z7" s="3"/>
      <c r="AA7" s="3"/>
      <c r="AB7" s="3"/>
      <c r="AC7" s="3"/>
      <c r="AD7" s="3"/>
    </row>
    <row r="8" ht="23.25" customHeight="1" spans="1:30">
      <c r="A8" s="9" t="s">
        <v>280</v>
      </c>
      <c r="B8" s="9" t="s">
        <v>281</v>
      </c>
      <c r="C8" s="9" t="s">
        <v>282</v>
      </c>
      <c r="D8" s="9" t="s">
        <v>283</v>
      </c>
      <c r="E8" s="3"/>
      <c r="F8" s="3"/>
      <c r="G8" s="3"/>
      <c r="H8" s="3"/>
      <c r="I8" s="3"/>
      <c r="J8" s="3"/>
      <c r="K8" s="3"/>
      <c r="L8" s="3"/>
      <c r="M8" s="3"/>
      <c r="N8" s="3"/>
      <c r="O8" s="3"/>
      <c r="P8" s="3"/>
      <c r="Q8" s="3"/>
      <c r="R8" s="3"/>
      <c r="S8" s="3"/>
      <c r="T8" s="3"/>
      <c r="U8" s="3"/>
      <c r="V8" s="3"/>
      <c r="W8" s="3"/>
      <c r="X8" s="3"/>
      <c r="Y8" s="3"/>
      <c r="Z8" s="3"/>
      <c r="AA8" s="3"/>
      <c r="AB8" s="3"/>
      <c r="AC8" s="3"/>
      <c r="AD8" s="3"/>
    </row>
    <row r="9" ht="34.5" customHeight="1" spans="1:30">
      <c r="A9" s="9" t="s">
        <v>284</v>
      </c>
      <c r="B9" s="9" t="s">
        <v>285</v>
      </c>
      <c r="C9" s="9" t="s">
        <v>286</v>
      </c>
      <c r="D9" s="9" t="s">
        <v>287</v>
      </c>
      <c r="E9" s="3"/>
      <c r="F9" s="3"/>
      <c r="G9" s="3"/>
      <c r="H9" s="3"/>
      <c r="I9" s="3"/>
      <c r="J9" s="3"/>
      <c r="K9" s="3"/>
      <c r="L9" s="3"/>
      <c r="M9" s="3"/>
      <c r="N9" s="3"/>
      <c r="O9" s="3"/>
      <c r="P9" s="3"/>
      <c r="Q9" s="3"/>
      <c r="R9" s="3"/>
      <c r="S9" s="3"/>
      <c r="T9" s="3"/>
      <c r="U9" s="3"/>
      <c r="V9" s="3"/>
      <c r="W9" s="3"/>
      <c r="X9" s="3"/>
      <c r="Y9" s="3"/>
      <c r="Z9" s="3"/>
      <c r="AA9" s="3"/>
      <c r="AB9" s="3"/>
      <c r="AC9" s="3"/>
      <c r="AD9" s="3"/>
    </row>
    <row r="10" ht="23.25" customHeight="1" spans="1:30">
      <c r="A10" s="9" t="s">
        <v>288</v>
      </c>
      <c r="B10" s="9" t="s">
        <v>289</v>
      </c>
      <c r="C10" s="9" t="s">
        <v>290</v>
      </c>
      <c r="D10" s="9" t="s">
        <v>291</v>
      </c>
      <c r="E10" s="3"/>
      <c r="F10" s="3"/>
      <c r="G10" s="3"/>
      <c r="H10" s="3"/>
      <c r="I10" s="3"/>
      <c r="J10" s="3"/>
      <c r="K10" s="3"/>
      <c r="L10" s="3"/>
      <c r="M10" s="3"/>
      <c r="N10" s="3"/>
      <c r="O10" s="3"/>
      <c r="P10" s="3"/>
      <c r="Q10" s="3"/>
      <c r="R10" s="3"/>
      <c r="S10" s="3"/>
      <c r="T10" s="3"/>
      <c r="U10" s="3"/>
      <c r="V10" s="3"/>
      <c r="W10" s="3"/>
      <c r="X10" s="3"/>
      <c r="Y10" s="3"/>
      <c r="Z10" s="3"/>
      <c r="AA10" s="3"/>
      <c r="AB10" s="3"/>
      <c r="AC10" s="3"/>
      <c r="AD10" s="3"/>
    </row>
    <row r="11" ht="15" customHeight="1" spans="1:30">
      <c r="A11" s="9" t="s">
        <v>292</v>
      </c>
      <c r="B11" s="9" t="s">
        <v>293</v>
      </c>
      <c r="C11" s="9" t="s">
        <v>294</v>
      </c>
      <c r="D11" s="9" t="s">
        <v>295</v>
      </c>
      <c r="E11" s="3"/>
      <c r="F11" s="3"/>
      <c r="G11" s="3"/>
      <c r="H11" s="3"/>
      <c r="I11" s="3"/>
      <c r="J11" s="3"/>
      <c r="K11" s="3"/>
      <c r="L11" s="3"/>
      <c r="M11" s="3"/>
      <c r="N11" s="3"/>
      <c r="O11" s="3"/>
      <c r="P11" s="3"/>
      <c r="Q11" s="3"/>
      <c r="R11" s="3"/>
      <c r="S11" s="3"/>
      <c r="T11" s="3"/>
      <c r="U11" s="3"/>
      <c r="V11" s="3"/>
      <c r="W11" s="3"/>
      <c r="X11" s="3"/>
      <c r="Y11" s="3"/>
      <c r="Z11" s="3"/>
      <c r="AA11" s="3"/>
      <c r="AB11" s="3"/>
      <c r="AC11" s="3"/>
      <c r="AD11" s="3"/>
    </row>
    <row r="12" ht="23.25" customHeight="1" spans="1:30">
      <c r="A12" s="9" t="s">
        <v>296</v>
      </c>
      <c r="B12" s="9" t="s">
        <v>297</v>
      </c>
      <c r="C12" s="9" t="s">
        <v>298</v>
      </c>
      <c r="D12" s="9" t="s">
        <v>299</v>
      </c>
      <c r="E12" s="3"/>
      <c r="F12" s="3"/>
      <c r="G12" s="3"/>
      <c r="H12" s="3"/>
      <c r="I12" s="3"/>
      <c r="J12" s="3"/>
      <c r="K12" s="3"/>
      <c r="L12" s="3"/>
      <c r="M12" s="3"/>
      <c r="N12" s="3"/>
      <c r="O12" s="3"/>
      <c r="P12" s="3"/>
      <c r="Q12" s="3"/>
      <c r="R12" s="3"/>
      <c r="S12" s="3"/>
      <c r="T12" s="3"/>
      <c r="U12" s="3"/>
      <c r="V12" s="3"/>
      <c r="W12" s="3"/>
      <c r="X12" s="3"/>
      <c r="Y12" s="3"/>
      <c r="Z12" s="3"/>
      <c r="AA12" s="3"/>
      <c r="AB12" s="3"/>
      <c r="AC12" s="3"/>
      <c r="AD12" s="3"/>
    </row>
    <row r="13" ht="15" customHeight="1" spans="1:30">
      <c r="A13" s="3" t="s">
        <v>300</v>
      </c>
      <c r="B13" s="3" t="s">
        <v>301</v>
      </c>
      <c r="C13" s="3" t="s">
        <v>298</v>
      </c>
      <c r="D13" s="3" t="s">
        <v>302</v>
      </c>
      <c r="E13" s="3"/>
      <c r="F13" s="3"/>
      <c r="G13" s="3"/>
      <c r="H13" s="3"/>
      <c r="I13" s="3"/>
      <c r="J13" s="3"/>
      <c r="K13" s="3"/>
      <c r="L13" s="3"/>
      <c r="M13" s="3"/>
      <c r="N13" s="3"/>
      <c r="O13" s="3"/>
      <c r="P13" s="3"/>
      <c r="Q13" s="3"/>
      <c r="R13" s="3"/>
      <c r="S13" s="3"/>
      <c r="T13" s="3"/>
      <c r="U13" s="3"/>
      <c r="V13" s="3"/>
      <c r="W13" s="3"/>
      <c r="X13" s="3"/>
      <c r="Y13" s="3"/>
      <c r="Z13" s="3"/>
      <c r="AA13" s="3"/>
      <c r="AB13" s="3"/>
      <c r="AC13" s="3"/>
      <c r="AD13" s="3"/>
    </row>
    <row r="14" ht="15" customHeight="1" spans="1:30">
      <c r="A14" s="10" t="s">
        <v>303</v>
      </c>
      <c r="E14" s="3"/>
      <c r="F14" s="3"/>
      <c r="G14" s="3"/>
      <c r="H14" s="3"/>
      <c r="I14" s="3"/>
      <c r="J14" s="3"/>
      <c r="K14" s="3"/>
      <c r="L14" s="3"/>
      <c r="M14" s="3"/>
      <c r="N14" s="3"/>
      <c r="O14" s="3"/>
      <c r="P14" s="3"/>
      <c r="Q14" s="3"/>
      <c r="R14" s="3"/>
      <c r="S14" s="3"/>
      <c r="T14" s="3"/>
      <c r="U14" s="3"/>
      <c r="V14" s="3"/>
      <c r="W14" s="3"/>
      <c r="X14" s="3"/>
      <c r="Y14" s="3"/>
      <c r="Z14" s="3"/>
      <c r="AA14" s="3"/>
      <c r="AB14" s="3"/>
      <c r="AC14" s="3"/>
      <c r="AD14" s="3"/>
    </row>
    <row r="15" ht="15" customHeight="1" spans="1:30">
      <c r="E15" s="3"/>
      <c r="F15" s="3"/>
      <c r="G15" s="3"/>
      <c r="H15" s="3"/>
      <c r="I15" s="3"/>
      <c r="J15" s="3"/>
      <c r="K15" s="3"/>
      <c r="L15" s="3"/>
      <c r="M15" s="3"/>
      <c r="N15" s="3"/>
      <c r="O15" s="3"/>
      <c r="P15" s="3"/>
      <c r="Q15" s="3"/>
      <c r="R15" s="3"/>
      <c r="S15" s="3"/>
      <c r="T15" s="3"/>
      <c r="U15" s="3"/>
      <c r="V15" s="3"/>
      <c r="W15" s="3"/>
      <c r="X15" s="3"/>
      <c r="Y15" s="3"/>
      <c r="Z15" s="3"/>
      <c r="AA15" s="3"/>
      <c r="AB15" s="3"/>
      <c r="AC15" s="3"/>
      <c r="AD15" s="3"/>
    </row>
    <row r="16" ht="15" customHeight="1" spans="1:30">
      <c r="E16" s="3"/>
      <c r="F16" s="3"/>
      <c r="G16" s="3"/>
      <c r="H16" s="3"/>
      <c r="I16" s="3"/>
      <c r="J16" s="3"/>
      <c r="K16" s="3"/>
      <c r="L16" s="3"/>
      <c r="M16" s="3"/>
      <c r="N16" s="3"/>
      <c r="O16" s="3"/>
      <c r="P16" s="3"/>
      <c r="Q16" s="3"/>
      <c r="R16" s="3"/>
      <c r="S16" s="3"/>
      <c r="T16" s="3"/>
      <c r="U16" s="3"/>
      <c r="V16" s="3"/>
      <c r="W16" s="3"/>
      <c r="X16" s="3"/>
      <c r="Y16" s="3"/>
      <c r="Z16" s="3"/>
      <c r="AA16" s="3"/>
      <c r="AB16" s="3"/>
      <c r="AC16" s="3"/>
      <c r="AD16" s="3"/>
    </row>
    <row r="17" ht="15" customHeight="1" spans="1:30">
      <c r="E17" s="3"/>
      <c r="F17" s="3"/>
      <c r="G17" s="3"/>
      <c r="H17" s="3"/>
      <c r="I17" s="3"/>
      <c r="J17" s="3"/>
      <c r="K17" s="3"/>
      <c r="L17" s="3"/>
      <c r="M17" s="3"/>
      <c r="N17" s="3"/>
      <c r="O17" s="3"/>
      <c r="P17" s="3"/>
      <c r="Q17" s="3"/>
      <c r="R17" s="3"/>
      <c r="S17" s="3"/>
      <c r="T17" s="3"/>
      <c r="U17" s="3"/>
      <c r="V17" s="3"/>
      <c r="W17" s="3"/>
      <c r="X17" s="3"/>
      <c r="Y17" s="3"/>
      <c r="Z17" s="3"/>
      <c r="AA17" s="3"/>
      <c r="AB17" s="3"/>
      <c r="AC17" s="3"/>
      <c r="AD17" s="3"/>
    </row>
    <row r="18" ht="15" customHeight="1" spans="1:30">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ht="15" customHeight="1" spans="1:30">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ht="15" customHeight="1" spans="1:3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15" customHeight="1" spans="1:30">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ht="15" customHeight="1" spans="1:30">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ht="15" customHeight="1" spans="1:30">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ht="15" customHeight="1" spans="1:30">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ht="15" customHeight="1" spans="1:30">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ht="15" customHeight="1" spans="1:3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pageMargins left="0.7" right="0.7" top="0.75" bottom="0.75"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60"/>
  <sheetViews>
    <sheetView workbookViewId="0">
      <pane ySplit="4" topLeftCell="A5" activePane="bottomLeft" state="frozen"/>
      <selection/>
      <selection pane="bottomLeft" activeCell="E13" sqref="E13"/>
    </sheetView>
  </sheetViews>
  <sheetFormatPr defaultColWidth="8.68181818181818" defaultRowHeight="14.5"/>
  <cols>
    <col min="1" max="1" width="18" style="1" customWidth="1"/>
    <col min="2" max="2" width="16" style="1" customWidth="1"/>
    <col min="3" max="3" width="34" style="1" customWidth="1"/>
    <col min="4" max="4" width="30" style="1" customWidth="1"/>
    <col min="5" max="5" width="20" style="1" customWidth="1"/>
    <col min="6" max="6" width="8" style="1" customWidth="1"/>
    <col min="7" max="7" width="40" style="1" customWidth="1"/>
    <col min="8" max="8" width="3" style="1" customWidth="1"/>
    <col min="9" max="9" width="32" style="1" customWidth="1"/>
    <col min="10" max="11" width="40" style="1" customWidth="1"/>
  </cols>
  <sheetData>
    <row r="1" ht="30" customHeight="1" spans="1:30">
      <c r="A1" s="2" t="s">
        <v>304</v>
      </c>
      <c r="B1" s="2"/>
      <c r="C1" s="2"/>
      <c r="D1" s="2"/>
      <c r="E1" s="2"/>
      <c r="F1" s="2"/>
      <c r="G1" s="2"/>
      <c r="H1" s="2"/>
      <c r="I1" s="2"/>
      <c r="J1" s="2"/>
      <c r="K1" s="2"/>
      <c r="L1" s="2"/>
      <c r="M1" s="3"/>
      <c r="N1" s="3"/>
      <c r="O1" s="3"/>
      <c r="P1" s="3"/>
      <c r="Q1" s="3"/>
      <c r="R1" s="3"/>
      <c r="S1" s="3"/>
      <c r="T1" s="3"/>
      <c r="U1" s="3"/>
      <c r="V1" s="3"/>
      <c r="W1" s="3"/>
      <c r="X1" s="3"/>
      <c r="Y1" s="3"/>
      <c r="Z1" s="3"/>
      <c r="AA1" s="3"/>
      <c r="AB1" s="3"/>
      <c r="AC1" s="3"/>
      <c r="AD1" s="3"/>
    </row>
    <row r="2" ht="21.75" customHeight="1" spans="1:30">
      <c r="A2" s="4" t="s">
        <v>305</v>
      </c>
      <c r="B2" s="4"/>
      <c r="C2" s="4"/>
      <c r="D2" s="4"/>
      <c r="E2" s="4"/>
      <c r="F2" s="4"/>
      <c r="G2" s="4"/>
      <c r="H2" s="4"/>
      <c r="I2" s="4"/>
      <c r="J2" s="4"/>
      <c r="K2" s="4"/>
      <c r="L2" s="4"/>
      <c r="M2" s="3"/>
      <c r="N2" s="3"/>
      <c r="O2" s="3"/>
      <c r="P2" s="3"/>
      <c r="Q2" s="3"/>
      <c r="R2" s="3"/>
      <c r="S2" s="3"/>
      <c r="T2" s="3"/>
      <c r="U2" s="3"/>
      <c r="V2" s="3"/>
      <c r="W2" s="3"/>
      <c r="X2" s="3"/>
      <c r="Y2" s="3"/>
      <c r="Z2" s="3"/>
      <c r="AA2" s="3"/>
      <c r="AB2" s="3"/>
      <c r="AC2" s="3"/>
      <c r="AD2" s="3"/>
    </row>
    <row r="3" ht="15" customHeight="1" spans="1:30">
      <c r="A3" s="3"/>
      <c r="B3" s="3"/>
      <c r="C3" s="3"/>
      <c r="D3" s="3"/>
      <c r="E3" s="3"/>
      <c r="F3" s="3"/>
      <c r="G3" s="3"/>
      <c r="H3" s="3"/>
      <c r="I3" s="5" t="s">
        <v>306</v>
      </c>
      <c r="J3" s="3"/>
      <c r="K3" s="3"/>
      <c r="L3" s="3"/>
      <c r="M3" s="3"/>
      <c r="N3" s="3"/>
      <c r="O3" s="3"/>
      <c r="P3" s="3"/>
      <c r="Q3" s="3"/>
      <c r="R3" s="3"/>
      <c r="S3" s="3"/>
      <c r="T3" s="3"/>
      <c r="U3" s="3"/>
      <c r="V3" s="3"/>
      <c r="W3" s="3"/>
      <c r="X3" s="3"/>
      <c r="Y3" s="3"/>
      <c r="Z3" s="3"/>
      <c r="AA3" s="3"/>
      <c r="AB3" s="3"/>
      <c r="AC3" s="3"/>
      <c r="AD3" s="3"/>
    </row>
    <row r="4" ht="15" customHeight="1" spans="1:30">
      <c r="A4" s="6" t="s">
        <v>307</v>
      </c>
      <c r="B4" s="6" t="s">
        <v>308</v>
      </c>
      <c r="C4" s="7" t="s">
        <v>309</v>
      </c>
      <c r="D4" s="7" t="s">
        <v>310</v>
      </c>
      <c r="E4" s="6" t="s">
        <v>311</v>
      </c>
      <c r="F4" s="6" t="s">
        <v>312</v>
      </c>
      <c r="G4" s="6" t="s">
        <v>313</v>
      </c>
      <c r="H4" s="8"/>
      <c r="I4" s="6" t="s">
        <v>314</v>
      </c>
      <c r="J4" s="6" t="s">
        <v>315</v>
      </c>
      <c r="K4" s="6" t="s">
        <v>109</v>
      </c>
      <c r="L4" s="3"/>
      <c r="M4" s="3"/>
      <c r="N4" s="3"/>
      <c r="O4" s="3"/>
      <c r="P4" s="3"/>
      <c r="Q4" s="3"/>
      <c r="R4" s="3"/>
      <c r="S4" s="3"/>
      <c r="T4" s="3"/>
      <c r="U4" s="3"/>
      <c r="V4" s="3"/>
      <c r="W4" s="3"/>
      <c r="X4" s="3"/>
      <c r="Y4" s="3"/>
      <c r="Z4" s="3"/>
      <c r="AA4" s="3"/>
      <c r="AB4" s="3"/>
      <c r="AC4" s="3"/>
      <c r="AD4" s="3"/>
    </row>
    <row r="5" ht="15" customHeight="1" spans="1:30">
      <c r="A5" s="3" t="s">
        <v>316</v>
      </c>
      <c r="B5" s="3" t="s">
        <v>317</v>
      </c>
      <c r="C5" s="3" t="s">
        <v>318</v>
      </c>
      <c r="D5" s="3" t="s">
        <v>76</v>
      </c>
      <c r="E5" s="3" t="s">
        <v>319</v>
      </c>
      <c r="F5" s="3">
        <v>1</v>
      </c>
      <c r="G5" s="3" t="s">
        <v>320</v>
      </c>
      <c r="H5" s="3"/>
      <c r="I5" s="3" t="s">
        <v>318</v>
      </c>
      <c r="J5" s="3" t="s">
        <v>321</v>
      </c>
      <c r="K5" s="3" t="s">
        <v>322</v>
      </c>
      <c r="L5" s="3"/>
      <c r="M5" s="3"/>
      <c r="N5" s="3"/>
      <c r="O5" s="3"/>
      <c r="P5" s="3"/>
      <c r="Q5" s="3"/>
      <c r="R5" s="3"/>
      <c r="S5" s="3"/>
      <c r="T5" s="3"/>
      <c r="U5" s="3"/>
      <c r="V5" s="3"/>
      <c r="W5" s="3"/>
      <c r="X5" s="3"/>
      <c r="Y5" s="3"/>
      <c r="Z5" s="3"/>
      <c r="AA5" s="3"/>
      <c r="AB5" s="3"/>
      <c r="AC5" s="3"/>
      <c r="AD5" s="3"/>
    </row>
    <row r="6" ht="15" customHeight="1" spans="1:30">
      <c r="A6" s="3" t="s">
        <v>323</v>
      </c>
      <c r="B6" s="3" t="s">
        <v>324</v>
      </c>
      <c r="C6" s="3" t="s">
        <v>325</v>
      </c>
      <c r="D6" s="3" t="s">
        <v>326</v>
      </c>
      <c r="E6" s="3" t="s">
        <v>327</v>
      </c>
      <c r="F6" s="3">
        <v>0.8</v>
      </c>
      <c r="G6" s="3" t="s">
        <v>328</v>
      </c>
      <c r="H6" s="3"/>
      <c r="I6" s="3" t="s">
        <v>325</v>
      </c>
      <c r="J6" s="3" t="s">
        <v>329</v>
      </c>
      <c r="K6" s="3" t="s">
        <v>330</v>
      </c>
      <c r="L6" s="3"/>
      <c r="M6" s="3"/>
      <c r="N6" s="3"/>
      <c r="O6" s="3"/>
      <c r="P6" s="3"/>
      <c r="Q6" s="3"/>
      <c r="R6" s="3"/>
      <c r="S6" s="3"/>
      <c r="T6" s="3"/>
      <c r="U6" s="3"/>
      <c r="V6" s="3"/>
      <c r="W6" s="3"/>
      <c r="X6" s="3"/>
      <c r="Y6" s="3"/>
      <c r="Z6" s="3"/>
      <c r="AA6" s="3"/>
      <c r="AB6" s="3"/>
      <c r="AC6" s="3"/>
      <c r="AD6" s="3"/>
    </row>
    <row r="7" ht="15" customHeight="1" spans="1:30">
      <c r="A7" s="3" t="s">
        <v>331</v>
      </c>
      <c r="B7" s="3" t="s">
        <v>332</v>
      </c>
      <c r="C7" s="3" t="s">
        <v>79</v>
      </c>
      <c r="D7" s="3" t="s">
        <v>333</v>
      </c>
      <c r="E7" s="3" t="s">
        <v>334</v>
      </c>
      <c r="F7" s="3">
        <v>0.6</v>
      </c>
      <c r="G7" s="3" t="s">
        <v>335</v>
      </c>
      <c r="H7" s="3"/>
      <c r="I7" s="3" t="s">
        <v>79</v>
      </c>
      <c r="J7" s="3" t="s">
        <v>336</v>
      </c>
      <c r="K7" s="3" t="s">
        <v>337</v>
      </c>
      <c r="L7" s="3"/>
      <c r="M7" s="3"/>
      <c r="N7" s="3"/>
      <c r="O7" s="3"/>
      <c r="P7" s="3"/>
      <c r="Q7" s="3"/>
      <c r="R7" s="3"/>
      <c r="S7" s="3"/>
      <c r="T7" s="3"/>
      <c r="U7" s="3"/>
      <c r="V7" s="3"/>
      <c r="W7" s="3"/>
      <c r="X7" s="3"/>
      <c r="Y7" s="3"/>
      <c r="Z7" s="3"/>
      <c r="AA7" s="3"/>
      <c r="AB7" s="3"/>
      <c r="AC7" s="3"/>
      <c r="AD7" s="3"/>
    </row>
    <row r="8" ht="15" customHeight="1" spans="1:30">
      <c r="A8" s="3"/>
      <c r="B8" s="3" t="s">
        <v>338</v>
      </c>
      <c r="C8" s="3" t="s">
        <v>339</v>
      </c>
      <c r="D8" s="3" t="s">
        <v>340</v>
      </c>
      <c r="E8" s="3" t="s">
        <v>341</v>
      </c>
      <c r="F8" s="3">
        <v>0.3</v>
      </c>
      <c r="G8" s="3" t="s">
        <v>342</v>
      </c>
      <c r="H8" s="3"/>
      <c r="I8" s="3" t="s">
        <v>339</v>
      </c>
      <c r="J8" s="3" t="s">
        <v>343</v>
      </c>
      <c r="K8" s="3" t="s">
        <v>344</v>
      </c>
      <c r="L8" s="3"/>
      <c r="M8" s="3"/>
      <c r="N8" s="3"/>
      <c r="O8" s="3"/>
      <c r="P8" s="3"/>
      <c r="Q8" s="3"/>
      <c r="R8" s="3"/>
      <c r="S8" s="3"/>
      <c r="T8" s="3"/>
      <c r="U8" s="3"/>
      <c r="V8" s="3"/>
      <c r="W8" s="3"/>
      <c r="X8" s="3"/>
      <c r="Y8" s="3"/>
      <c r="Z8" s="3"/>
      <c r="AA8" s="3"/>
      <c r="AB8" s="3"/>
      <c r="AC8" s="3"/>
      <c r="AD8" s="3"/>
    </row>
    <row r="9" ht="15" customHeight="1" spans="1:30">
      <c r="A9" s="3"/>
      <c r="B9" s="3" t="s">
        <v>345</v>
      </c>
      <c r="C9" s="3" t="s">
        <v>346</v>
      </c>
      <c r="D9" s="3" t="s">
        <v>347</v>
      </c>
      <c r="E9" s="3" t="s">
        <v>348</v>
      </c>
      <c r="F9" s="3">
        <v>0</v>
      </c>
      <c r="G9" s="3" t="s">
        <v>349</v>
      </c>
      <c r="H9" s="3"/>
      <c r="I9" s="3" t="s">
        <v>346</v>
      </c>
      <c r="J9" s="3" t="s">
        <v>350</v>
      </c>
      <c r="K9" s="3" t="s">
        <v>351</v>
      </c>
      <c r="L9" s="3"/>
      <c r="M9" s="3"/>
      <c r="N9" s="3"/>
      <c r="O9" s="3"/>
      <c r="P9" s="3"/>
      <c r="Q9" s="3"/>
      <c r="R9" s="3"/>
      <c r="S9" s="3"/>
      <c r="T9" s="3"/>
      <c r="U9" s="3"/>
      <c r="V9" s="3"/>
      <c r="W9" s="3"/>
      <c r="X9" s="3"/>
      <c r="Y9" s="3"/>
      <c r="Z9" s="3"/>
      <c r="AA9" s="3"/>
      <c r="AB9" s="3"/>
      <c r="AC9" s="3"/>
      <c r="AD9" s="3"/>
    </row>
    <row r="10" ht="15" customHeight="1" spans="1:30">
      <c r="A10" s="3"/>
      <c r="B10" s="3" t="s">
        <v>352</v>
      </c>
      <c r="C10" s="3" t="s">
        <v>353</v>
      </c>
      <c r="D10" s="3" t="s">
        <v>354</v>
      </c>
      <c r="E10" s="3" t="s">
        <v>355</v>
      </c>
      <c r="F10" s="3">
        <v>0</v>
      </c>
      <c r="G10" s="3" t="s">
        <v>356</v>
      </c>
      <c r="H10" s="3"/>
      <c r="I10" s="3" t="s">
        <v>353</v>
      </c>
      <c r="J10" s="3" t="s">
        <v>357</v>
      </c>
      <c r="K10" s="3" t="s">
        <v>358</v>
      </c>
      <c r="L10" s="3"/>
      <c r="M10" s="3"/>
      <c r="N10" s="3"/>
      <c r="O10" s="3"/>
      <c r="P10" s="3"/>
      <c r="Q10" s="3"/>
      <c r="R10" s="3"/>
      <c r="S10" s="3"/>
      <c r="T10" s="3"/>
      <c r="U10" s="3"/>
      <c r="V10" s="3"/>
      <c r="W10" s="3"/>
      <c r="X10" s="3"/>
      <c r="Y10" s="3"/>
      <c r="Z10" s="3"/>
      <c r="AA10" s="3"/>
      <c r="AB10" s="3"/>
      <c r="AC10" s="3"/>
      <c r="AD10" s="3"/>
    </row>
    <row r="11" ht="15" customHeight="1" spans="1:30">
      <c r="A11" s="3"/>
      <c r="B11" s="3" t="s">
        <v>359</v>
      </c>
      <c r="C11" s="3" t="s">
        <v>360</v>
      </c>
      <c r="D11" s="3" t="s">
        <v>361</v>
      </c>
      <c r="E11" s="3" t="s">
        <v>362</v>
      </c>
      <c r="F11" s="3">
        <v>0</v>
      </c>
      <c r="G11" s="3" t="s">
        <v>363</v>
      </c>
      <c r="H11" s="3"/>
      <c r="I11" s="3" t="s">
        <v>360</v>
      </c>
      <c r="J11" s="3" t="s">
        <v>364</v>
      </c>
      <c r="K11" s="3" t="s">
        <v>365</v>
      </c>
      <c r="L11" s="3"/>
      <c r="M11" s="3"/>
      <c r="N11" s="3"/>
      <c r="O11" s="3"/>
      <c r="P11" s="3"/>
      <c r="Q11" s="3"/>
      <c r="R11" s="3"/>
      <c r="S11" s="3"/>
      <c r="T11" s="3"/>
      <c r="U11" s="3"/>
      <c r="V11" s="3"/>
      <c r="W11" s="3"/>
      <c r="X11" s="3"/>
      <c r="Y11" s="3"/>
      <c r="Z11" s="3"/>
      <c r="AA11" s="3"/>
      <c r="AB11" s="3"/>
      <c r="AC11" s="3"/>
      <c r="AD11" s="3"/>
    </row>
    <row r="12" ht="15" customHeight="1" spans="1:30">
      <c r="A12" s="3"/>
      <c r="B12" s="3" t="s">
        <v>239</v>
      </c>
      <c r="C12" s="3"/>
      <c r="D12" s="3"/>
      <c r="E12" s="3" t="s">
        <v>366</v>
      </c>
      <c r="F12" s="3">
        <v>0</v>
      </c>
      <c r="G12" s="3" t="s">
        <v>367</v>
      </c>
      <c r="H12" s="3"/>
      <c r="I12" s="3"/>
      <c r="J12" s="3"/>
      <c r="K12" s="3"/>
      <c r="L12" s="3"/>
      <c r="M12" s="3"/>
      <c r="N12" s="3"/>
      <c r="O12" s="3"/>
      <c r="P12" s="3"/>
      <c r="Q12" s="3"/>
      <c r="R12" s="3"/>
      <c r="S12" s="3"/>
      <c r="T12" s="3"/>
      <c r="U12" s="3"/>
      <c r="V12" s="3"/>
      <c r="W12" s="3"/>
      <c r="X12" s="3"/>
      <c r="Y12" s="3"/>
      <c r="Z12" s="3"/>
      <c r="AA12" s="3"/>
      <c r="AB12" s="3"/>
      <c r="AC12" s="3"/>
      <c r="AD12" s="3"/>
    </row>
    <row r="13" ht="15" customHeight="1" spans="1:30">
      <c r="A13" s="3"/>
      <c r="B13" s="3" t="s">
        <v>368</v>
      </c>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row>
    <row r="14" ht="15" customHeight="1" spans="1:30">
      <c r="A14" s="3"/>
      <c r="B14" s="3" t="s">
        <v>362</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row>
    <row r="15" ht="15" customHeight="1" spans="1:30">
      <c r="A15" s="3"/>
      <c r="B15" s="3" t="s">
        <v>319</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row>
    <row r="16" ht="15" customHeight="1" spans="1:30">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row>
    <row r="17" ht="15" customHeight="1" spans="1:30">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row>
    <row r="18" ht="15" customHeight="1" spans="1:30">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row>
    <row r="19" ht="15" customHeight="1" spans="1:30">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row>
    <row r="20" ht="15" customHeight="1" spans="1:3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row>
    <row r="21" ht="15" customHeight="1" spans="1:30">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row>
    <row r="22" ht="15" customHeight="1" spans="1:30">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row>
    <row r="23" ht="15" customHeight="1" spans="1:30">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row>
    <row r="24" ht="15" customHeight="1" spans="1:30">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row>
    <row r="25" ht="15" customHeight="1" spans="1:30">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row>
    <row r="26" ht="15" customHeight="1" spans="1:3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row>
    <row r="27" ht="15" customHeight="1" spans="1:3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row>
    <row r="28" ht="15" customHeight="1" spans="1:3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row>
    <row r="29" ht="15" customHeight="1" spans="1:30">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row>
    <row r="30" ht="15" customHeight="1" spans="1: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row>
    <row r="31" ht="15" customHeight="1" spans="1:30">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row>
    <row r="32" ht="15" customHeight="1" spans="1:30">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row>
    <row r="33" ht="15" customHeight="1" spans="1:30">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row>
    <row r="34" ht="15" customHeight="1" spans="1:30">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row>
    <row r="35" ht="15" customHeight="1" spans="1:30">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row>
    <row r="36" ht="15" customHeight="1" spans="1:30">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row>
    <row r="37" ht="15" customHeight="1" spans="1:30">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row>
    <row r="38" ht="15" customHeight="1" spans="1:30">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row>
    <row r="39" ht="15" customHeight="1" spans="1:30">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row>
    <row r="40" ht="15" customHeight="1" spans="1:3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row>
    <row r="41" ht="15" customHeight="1" spans="1:30">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row>
    <row r="42" ht="15" customHeight="1" spans="1:30">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row>
    <row r="43" ht="15" customHeight="1" spans="1:30">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row>
    <row r="44" ht="15" customHeight="1" spans="1:30">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row>
    <row r="45" ht="15" customHeight="1" spans="1:30">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row>
    <row r="46" ht="15" customHeight="1" spans="1:30">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row>
    <row r="47" ht="15" customHeight="1" spans="1:30">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ht="15" customHeight="1" spans="1:30">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ht="15" customHeight="1" spans="1:30">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ht="15" customHeight="1" spans="1:3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row>
    <row r="51" ht="15" customHeight="1" spans="1:30">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row>
    <row r="52" ht="15" customHeight="1" spans="1:30">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row>
    <row r="53" ht="15" customHeight="1" spans="1:30">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row>
    <row r="54" ht="15" customHeight="1" spans="1:30">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row>
    <row r="55" ht="15" customHeight="1" spans="1:30">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row>
    <row r="56" ht="15" customHeight="1" spans="1:30">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row>
    <row r="57" ht="15" customHeight="1" spans="1:30">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row>
    <row r="58" ht="15" customHeight="1" spans="1:30">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row>
    <row r="59" ht="15" customHeight="1" spans="1:30">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row>
    <row r="60" ht="15" customHeight="1" spans="1:3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row>
  </sheetData>
  <mergeCells count="2">
    <mergeCell ref="A1:L1"/>
    <mergeCell ref="A2:L2"/>
  </mergeCells>
  <pageMargins left="0.7" right="0.7" top="0.75" bottom="0.75"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13</vt:i4>
      </vt:variant>
    </vt:vector>
  </HeadingPairs>
  <TitlesOfParts>
    <vt:vector size="13" baseType="lpstr">
      <vt:lpstr>START HERE</vt:lpstr>
      <vt:lpstr>TENDER SETUP</vt:lpstr>
      <vt:lpstr>BIDDER REGISTER</vt:lpstr>
      <vt:lpstr>CRITERIA BUILDER</vt:lpstr>
      <vt:lpstr>RESPONSIVENESS</vt:lpstr>
      <vt:lpstr>TECHNICAL SCORING</vt:lpstr>
      <vt:lpstr>FINANCIAL CAPACITY</vt:lpstr>
      <vt:lpstr>COMMERCIAL EVAL</vt:lpstr>
      <vt:lpstr>CLARIFICATIONS</vt:lpstr>
      <vt:lpstr>DASHBOARD</vt:lpstr>
      <vt:lpstr>REPORT BUILDER</vt:lpstr>
      <vt:lpstr>SOURCE REGISTER</vt:lpstr>
      <vt:lpstr>LISTS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cp:revision>0</cp:revision>
  <dcterms:created xsi:type="dcterms:W3CDTF">2026-07-01T07:27:00Z</dcterms:created>
  <dcterms:modified xsi:type="dcterms:W3CDTF">2026-07-01T19:53:45Z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EC939426DA2A46C88784975C69E4CC22_12</vt:lpwstr>
  </property>
  <property fmtid="{D5CDD505-2E9C-101B-9397-08002B2CF9AE}" pid="3" name="KSOProductBuildVer">
    <vt:lpwstr>1033-12.1.0.26880</vt:lpwstr>
  </property>
  <property fmtid="{D5CDD505-2E9C-101B-9397-08002B2CF9AE}" pid="4" name="CalculationRule">
    <vt:i4>0</vt:i4>
  </property>
</Properties>
</file>