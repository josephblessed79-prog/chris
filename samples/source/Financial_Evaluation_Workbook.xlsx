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 firstSheet="3" activeTab="6"/>
  </bookViews>
  <sheets>
    <sheet name="START HERE" sheetId="1" r:id="rId1"/>
    <sheet name="DATA ENTRY" sheetId="2" r:id="rId2"/>
    <sheet name="RATIO RESULTS" sheetId="3" r:id="rId3"/>
    <sheet name="DASHBOARD" sheetId="4" r:id="rId4"/>
    <sheet name="FINDING BUILDER" sheetId="5" r:id="rId5"/>
    <sheet name="STATEMENT MAP" sheetId="6" r:id="rId6"/>
    <sheet name="SECTOR GUIDE" sheetId="7" r:id="rId7"/>
    <sheet name="SOURCE REGISTER" sheetId="8" r:id="rId8"/>
    <sheet name="VALIDATION LIS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<sst xmlns="http://schemas.openxmlformats.org/spreadsheetml/2006/main" count="458" uniqueCount="372">
  <si>
    <t>FINANCIAL CAPACITY EVALUATION WORKBOOK</t>
  </si>
  <si>
    <t>Calculation and screening aid for evaluation committees — simple, traceable, and consistent.</t>
  </si>
  <si>
    <t>USE THIS ORDER — DO NOT START WITH THE RATIOS</t>
  </si>
  <si>
    <t>1</t>
  </si>
  <si>
    <t>Read the financial statements.</t>
  </si>
  <si>
    <t>Start with the Income Statement, then the Balance Sheet, then the Cash Flow Statement.</t>
  </si>
  <si>
    <t>2</t>
  </si>
  <si>
    <t>Use the STATEMENT MAP.</t>
  </si>
  <si>
    <t>Find the correct line item before entering any number.</t>
  </si>
  <si>
    <t>3</t>
  </si>
  <si>
    <t>Enter figures in yellow cells only.</t>
  </si>
  <si>
    <t>Leave missing figures blank. Do not guess.</t>
  </si>
  <si>
    <t>4</t>
  </si>
  <si>
    <t>Review RATIO RESULTS and DASHBOARD.</t>
  </si>
  <si>
    <t>These are screening aids, not final decisions.</t>
  </si>
  <si>
    <t>5</t>
  </si>
  <si>
    <t>Use FINDING BUILDER.</t>
  </si>
  <si>
    <t>Copy wording only after checking the source figures.</t>
  </si>
  <si>
    <t>THE PLAIN TEST</t>
  </si>
  <si>
    <t>Can the bidder make money?</t>
  </si>
  <si>
    <t>Check Gross Profit Margin and Net Profit Margin.</t>
  </si>
  <si>
    <t>Can the bidder pay bills?</t>
  </si>
  <si>
    <t>Check Current Ratio, Quick Ratio, Cash, Current Liabilities and Working Capital.</t>
  </si>
  <si>
    <t>Is the bidder too dependent on debt?</t>
  </si>
  <si>
    <t>Check Debt-to-Equity, Equity Ratio and Interest Cover where available.</t>
  </si>
  <si>
    <t>Is cash tied up?</t>
  </si>
  <si>
    <t>Check Receivables Turnover, Collection Days, Work in Progress and related-party balances.</t>
  </si>
  <si>
    <t>COMMITTEE RULE</t>
  </si>
  <si>
    <t>Every figure must have a home: statement, year and line item. If the figure cannot be traced, do not use it. A ratio is a signal, not a verdict.</t>
  </si>
  <si>
    <t>DATA ENTRY — TYPE ONLY IN YELLOW CELLS</t>
  </si>
  <si>
    <t>Enter one row per bidder and financial year. Use the same financial year for income statement and balance sheet figures where possible. If a figure is missing, leave it blank and record the limitation in Source Note/Page.</t>
  </si>
  <si>
    <t>Record No.</t>
  </si>
  <si>
    <t>Bidder / Company</t>
  </si>
  <si>
    <t>Sector</t>
  </si>
  <si>
    <t>Financial Year</t>
  </si>
  <si>
    <t>Statement Status</t>
  </si>
  <si>
    <t>Contract Value (TTD)</t>
  </si>
  <si>
    <t>Revenue</t>
  </si>
  <si>
    <t>Cost of Sales / Direct Costs</t>
  </si>
  <si>
    <t>Gross Profit (if shown)</t>
  </si>
  <si>
    <t>Net Profit After Tax</t>
  </si>
  <si>
    <t>Current Assets</t>
  </si>
  <si>
    <t>Cash at Bank</t>
  </si>
  <si>
    <t>Trade Receivables - Current Year</t>
  </si>
  <si>
    <t>Trade Receivables - Prior Year</t>
  </si>
  <si>
    <t>Inventory / Stock</t>
  </si>
  <si>
    <t>Work in Progress</t>
  </si>
  <si>
    <t>Total Assets</t>
  </si>
  <si>
    <t>Current Liabilities</t>
  </si>
  <si>
    <t>Non-current Liabilities</t>
  </si>
  <si>
    <t>Total Liabilities</t>
  </si>
  <si>
    <t>Total Equity</t>
  </si>
  <si>
    <t>Operating Profit / EBIT</t>
  </si>
  <si>
    <t>Interest Expense</t>
  </si>
  <si>
    <t>Source Note / Page</t>
  </si>
  <si>
    <t>Figure Check Complete?</t>
  </si>
  <si>
    <t>RATIO RESULTS — AUTOMATIC CALCULATION AND SCREENING</t>
  </si>
  <si>
    <t>Do not type here. This sheet calculates ratios from DATA ENTRY. Ratings are first-pass screening only and do not replace approved evaluation criteria.</t>
  </si>
  <si>
    <t>Year</t>
  </si>
  <si>
    <t>Data Check</t>
  </si>
  <si>
    <t>Gross Profit Used</t>
  </si>
  <si>
    <t>Gross Profit Margin</t>
  </si>
  <si>
    <t>GPM Rating</t>
  </si>
  <si>
    <t>Net Profit Margin</t>
  </si>
  <si>
    <t>NPM Rating</t>
  </si>
  <si>
    <t>ROA</t>
  </si>
  <si>
    <t>ROA Rating</t>
  </si>
  <si>
    <t>ROE</t>
  </si>
  <si>
    <t>ROE Rating</t>
  </si>
  <si>
    <t>Current Ratio</t>
  </si>
  <si>
    <t>CR Rating</t>
  </si>
  <si>
    <t>Quick Ratio</t>
  </si>
  <si>
    <t>QR Rating</t>
  </si>
  <si>
    <t>Debt-to-Equity</t>
  </si>
  <si>
    <t>D/E Rating</t>
  </si>
  <si>
    <t>Equity Ratio</t>
  </si>
  <si>
    <t>Equity Rating</t>
  </si>
  <si>
    <t>Receivables Turnover</t>
  </si>
  <si>
    <t>Collection Days</t>
  </si>
  <si>
    <t>Receivables Rating</t>
  </si>
  <si>
    <t>Asset Turnover</t>
  </si>
  <si>
    <t>Asset Rating</t>
  </si>
  <si>
    <t>Working Capital</t>
  </si>
  <si>
    <t>WC Rating</t>
  </si>
  <si>
    <t>Interest Cover</t>
  </si>
  <si>
    <t>ICR Rating</t>
  </si>
  <si>
    <t>Overall Score</t>
  </si>
  <si>
    <t>Overall Screening Rating</t>
  </si>
  <si>
    <t>Main Flag</t>
  </si>
  <si>
    <t>DASHBOARD — COMMITTEE SCREENING VIEW</t>
  </si>
  <si>
    <t>Quick view only. Verify source figures before recording any finding.</t>
  </si>
  <si>
    <t>Bidder rows entered</t>
  </si>
  <si>
    <t>Strong</t>
  </si>
  <si>
    <t>Adequate</t>
  </si>
  <si>
    <t>With caution</t>
  </si>
  <si>
    <t>Stretched</t>
  </si>
  <si>
    <t>Need figure check</t>
  </si>
  <si>
    <t>Record</t>
  </si>
  <si>
    <t>Bidder</t>
  </si>
  <si>
    <t>Debt/Equity</t>
  </si>
  <si>
    <t>Net Margin</t>
  </si>
  <si>
    <t>Overall Rating</t>
  </si>
  <si>
    <t>Source Check</t>
  </si>
  <si>
    <t>Chair Note</t>
  </si>
  <si>
    <t>FINDING BUILDER — DEFENSIBLE COMMITTEE WORDING</t>
  </si>
  <si>
    <t>Generated wording must still be checked by the Committee. Do not use any sentence unless the source figures and approved criteria support it.</t>
  </si>
  <si>
    <t>Model Finding</t>
  </si>
  <si>
    <t>Clarification Question</t>
  </si>
  <si>
    <t>Chair Check</t>
  </si>
  <si>
    <t>STATEMENT MAP — WHERE TO FIND THE NUMBERS</t>
  </si>
  <si>
    <t>Use this sheet before touching the calculator. Names may differ by company, so read the line item carefully.</t>
  </si>
  <si>
    <t>Figure needed</t>
  </si>
  <si>
    <t>Plain meaning</t>
  </si>
  <si>
    <t>Statement</t>
  </si>
  <si>
    <t>Common line item names</t>
  </si>
  <si>
    <t>Used in</t>
  </si>
  <si>
    <t>Committee caution</t>
  </si>
  <si>
    <t>Money earned from sales or work done.</t>
  </si>
  <si>
    <t>Income Statement</t>
  </si>
  <si>
    <t>Revenue; Sales; Income; Gross Revenue</t>
  </si>
  <si>
    <t>Gross Margin, Net Margin, Receivables Turnover, Asset Turnover</t>
  </si>
  <si>
    <t>Use the same year as the profit figure.</t>
  </si>
  <si>
    <t>Direct cost of delivering the job.</t>
  </si>
  <si>
    <t>Cost of Sales; Direct Costs; Project Costs</t>
  </si>
  <si>
    <t>Gross Profit if Gross Profit not shown</t>
  </si>
  <si>
    <t>Do not mix with general office expenses.</t>
  </si>
  <si>
    <t>Gross Profit</t>
  </si>
  <si>
    <t>Revenue left after direct job costs.</t>
  </si>
  <si>
    <t>If not shown, calculate Revenue minus Cost of Sales.</t>
  </si>
  <si>
    <t>What remains after all expenses and tax.</t>
  </si>
  <si>
    <t>Profit for the Year; Net Profit; Total Comprehensive Income</t>
  </si>
  <si>
    <t>Net Margin, ROA, ROE</t>
  </si>
  <si>
    <t>Losses must be recorded calmly, not exaggerated.</t>
  </si>
  <si>
    <t>Profit before interest and tax.</t>
  </si>
  <si>
    <t>Operating Profit; EBIT; Profit before finance costs</t>
  </si>
  <si>
    <t>If absent, record that Interest Cover cannot be used.</t>
  </si>
  <si>
    <t>Cost of borrowing.</t>
  </si>
  <si>
    <t>Income Statement / Notes</t>
  </si>
  <si>
    <t>Finance Cost; Interest Expense; Bank Interest</t>
  </si>
  <si>
    <t>If zero or absent, do not force the ratio.</t>
  </si>
  <si>
    <t>Assets expected to turn into cash within one year.</t>
  </si>
  <si>
    <t>Balance Sheet</t>
  </si>
  <si>
    <t>Current Ratio, Quick Ratio, Working Capital</t>
  </si>
  <si>
    <t>Read what is inside: cash, receivables, stock, WIP, related-party balances.</t>
  </si>
  <si>
    <t>Actual cash in bank or hand.</t>
  </si>
  <si>
    <t>Cash at Bank; Bank; Cash and Cash Equivalents</t>
  </si>
  <si>
    <t>Working Capital quality</t>
  </si>
  <si>
    <t>Cash is stronger than receivables or related-party loans.</t>
  </si>
  <si>
    <t>Trade Receivables</t>
  </si>
  <si>
    <t>Money customers owe the company.</t>
  </si>
  <si>
    <t>Trade Receivables; Accounts Receivable; Debtors</t>
  </si>
  <si>
    <t>Old receivables can behave like cash pressure.</t>
  </si>
  <si>
    <t>Items held for use or sale.</t>
  </si>
  <si>
    <t>Inventory; Stock; Materials</t>
  </si>
  <si>
    <t>Inventory is removed for Quick Ratio because it may not sell quickly.</t>
  </si>
  <si>
    <t>Work started but not fully billed or collected.</t>
  </si>
  <si>
    <t>Work in Progress; Contract WIP</t>
  </si>
  <si>
    <t>Current Asset quality</t>
  </si>
  <si>
    <t>May depend on certification and payment timing.</t>
  </si>
  <si>
    <t>Everything the company owns or controls.</t>
  </si>
  <si>
    <t>ROA, Equity Ratio, Asset Turnover</t>
  </si>
  <si>
    <t>Check the reporting date.</t>
  </si>
  <si>
    <t>Bills due within one year.</t>
  </si>
  <si>
    <t>Current Liabilities; Payables; Overdraft; Tax Payable</t>
  </si>
  <si>
    <t>Supplier pressure often shows here.</t>
  </si>
  <si>
    <t>Everything the company owes.</t>
  </si>
  <si>
    <t>Confirm non-current liabilities were included.</t>
  </si>
  <si>
    <t>Owners' stake after debts.</t>
  </si>
  <si>
    <t>Capital and Reserves; Shareholders' Equity</t>
  </si>
  <si>
    <t>ROE, Debt-to-Equity, Equity Ratio</t>
  </si>
  <si>
    <t>Negative or falling equity needs explanation.</t>
  </si>
  <si>
    <t>Operating Cash Flow</t>
  </si>
  <si>
    <t>Cash from normal business activity.</t>
  </si>
  <si>
    <t>Cash Flow Statement</t>
  </si>
  <si>
    <t>Net cash from operating activities</t>
  </si>
  <si>
    <t>Cash-flow sense check</t>
  </si>
  <si>
    <t>Profit is not cash; check whether cash actually came in.</t>
  </si>
  <si>
    <t>SECTOR GUIDE — HOW TO READ RATIOS BY TYPE OF BUSINESS</t>
  </si>
  <si>
    <t>Use as a screening lens only. Do not compare a contractor, supermarket, quarry, bank and consultancy as if they are the same kind of business.</t>
  </si>
  <si>
    <t>CORE SCREENING BANDS — START HERE, THEN ADJUST BY SECTOR</t>
  </si>
  <si>
    <t>Ratio</t>
  </si>
  <si>
    <t>Plain question</t>
  </si>
  <si>
    <t>Caution</t>
  </si>
  <si>
    <t>High-risk</t>
  </si>
  <si>
    <t>Main caution</t>
  </si>
  <si>
    <t>Sheet source</t>
  </si>
  <si>
    <t>Can short-term assets cover short-term bills?</t>
  </si>
  <si>
    <t>1.50+</t>
  </si>
  <si>
    <t>1.20–1.49</t>
  </si>
  <si>
    <t>1.00–1.19</t>
  </si>
  <si>
    <t>Below 1.00</t>
  </si>
  <si>
    <t>Read what is inside current assets.</t>
  </si>
  <si>
    <t>Can bills be paid without relying on stock?</t>
  </si>
  <si>
    <t>1.00+</t>
  </si>
  <si>
    <t>0.80–0.99</t>
  </si>
  <si>
    <t>0.60–0.79</t>
  </si>
  <si>
    <t>Below 0.60</t>
  </si>
  <si>
    <t>Cash is stronger than receivables.</t>
  </si>
  <si>
    <t>Is the company leaning too much on debt?</t>
  </si>
  <si>
    <t>≤ 1.00</t>
  </si>
  <si>
    <t>1.01–1.50</t>
  </si>
  <si>
    <t>1.51–2.00</t>
  </si>
  <si>
    <t>Above 2.00</t>
  </si>
  <si>
    <t>Debt can be normal in asset-heavy sectors.</t>
  </si>
  <si>
    <t>Can profit pay interest?</t>
  </si>
  <si>
    <t>4.0+</t>
  </si>
  <si>
    <t>2.5–3.99</t>
  </si>
  <si>
    <t>1.5–2.49</t>
  </si>
  <si>
    <t>Below 1.5</t>
  </si>
  <si>
    <t>If interest is missing, record limitation.</t>
  </si>
  <si>
    <t>Profit / Margin Trend</t>
  </si>
  <si>
    <t>Is the business earning for its sector?</t>
  </si>
  <si>
    <t>Positive and steady</t>
  </si>
  <si>
    <t>Positive but thin</t>
  </si>
  <si>
    <t>Falling or one weak year</t>
  </si>
  <si>
    <t>Losses, no clear fix</t>
  </si>
  <si>
    <t>Compare to sector, not a random company.</t>
  </si>
  <si>
    <t>Does it have room to carry the job?</t>
  </si>
  <si>
    <t>Positive, cash-backed</t>
  </si>
  <si>
    <t>Positive, some slow debtors</t>
  </si>
  <si>
    <t>Tight or debtor-heavy</t>
  </si>
  <si>
    <t>Negative or cash-starved</t>
  </si>
  <si>
    <t>Quality of assets matters.</t>
  </si>
  <si>
    <t>SECTOR NOTES — SIMPLE COMMITTEE READING</t>
  </si>
  <si>
    <t>What matters most</t>
  </si>
  <si>
    <t>Usually strong when</t>
  </si>
  <si>
    <t>Agriculture, forestry and fishing</t>
  </si>
  <si>
    <t>Seasonal cash, debt service</t>
  </si>
  <si>
    <t>Liquidity survives more than one season.</t>
  </si>
  <si>
    <t>Use more than one year where possible.</t>
  </si>
  <si>
    <t>Mining and quarrying</t>
  </si>
  <si>
    <t>Debt service, equipment, cash generation</t>
  </si>
  <si>
    <t>Interest cover is strong and cash flow is steady.</t>
  </si>
  <si>
    <t>High assets and lower turnover can be normal.</t>
  </si>
  <si>
    <t>Manufacturing</t>
  </si>
  <si>
    <t>Margins, stock, working capital</t>
  </si>
  <si>
    <t>Margins positive and working capital steady.</t>
  </si>
  <si>
    <t>Read stock, receivables and capacity together.</t>
  </si>
  <si>
    <t>Electricity, gas and air conditioning</t>
  </si>
  <si>
    <t>Stable cash flow, debt service</t>
  </si>
  <si>
    <t>Debt is supported by predictable cash.</t>
  </si>
  <si>
    <t>Capital-heavy sector; ordinary liquidity bands need care.</t>
  </si>
  <si>
    <t>Water, sewerage, waste and remediation</t>
  </si>
  <si>
    <t>Contract base, cash flow</t>
  </si>
  <si>
    <t>Recurring work supports debt and operations.</t>
  </si>
  <si>
    <t>Contract quality may matter more than one ratio.</t>
  </si>
  <si>
    <t>Construction</t>
  </si>
  <si>
    <t>Working capital, receivables, quick liquidity</t>
  </si>
  <si>
    <t>Can fund materials, labour and subcontractors before payment.</t>
  </si>
  <si>
    <t>Profit on paper does not pay suppliers next week.</t>
  </si>
  <si>
    <t>Wholesale and retail trade</t>
  </si>
  <si>
    <t>Stock turn, thin margins, cash</t>
  </si>
  <si>
    <t>Stock moves, cash cycles quickly, debt manageable.</t>
  </si>
  <si>
    <t>Thin margins can be normal; dead stock is the danger.</t>
  </si>
  <si>
    <t>Transportation and storage</t>
  </si>
  <si>
    <t>Fleet use, fuel, maintenance, debt</t>
  </si>
  <si>
    <t>Debt service is covered by real operations.</t>
  </si>
  <si>
    <t>Fuel and maintenance can squeeze cash quickly.</t>
  </si>
  <si>
    <t>Accommodation and food service</t>
  </si>
  <si>
    <t>Cash sales, rent/lease, operating cash</t>
  </si>
  <si>
    <t>Cash moves regularly and debt/rent is manageable.</t>
  </si>
  <si>
    <t>One bad period is not enough; repeated cash weakness matters.</t>
  </si>
  <si>
    <t>Information and communication</t>
  </si>
  <si>
    <t>Quick liquidity, receivables, recurring income</t>
  </si>
  <si>
    <t>Low debt and strong quick assets.</t>
  </si>
  <si>
    <t>Check unbilled work and slow receivables.</t>
  </si>
  <si>
    <t>Financial and insurance activities</t>
  </si>
  <si>
    <t>Regulatory capital and good standing</t>
  </si>
  <si>
    <t>Regulatory requirements are met.</t>
  </si>
  <si>
    <t>Ordinary current/quick ratios are not the main test.</t>
  </si>
  <si>
    <t>Real estate activities</t>
  </si>
  <si>
    <t>Debt, interest cover, cash realisation</t>
  </si>
  <si>
    <t>Assets are supported by cash or firm payments.</t>
  </si>
  <si>
    <t>Big assets can still mean slow cash.</t>
  </si>
  <si>
    <t>Professional, scientific and technical</t>
  </si>
  <si>
    <t>Cash, receivables, low debt</t>
  </si>
  <si>
    <t>Quick ratio and margins are strong.</t>
  </si>
  <si>
    <t>For consulting/design/law, heavy debt is unusual.</t>
  </si>
  <si>
    <t>Administrative and support services</t>
  </si>
  <si>
    <t>Payroll cover, receivables, liquidity</t>
  </si>
  <si>
    <t>Can cover wages while waiting on clients.</t>
  </si>
  <si>
    <t>Slow customer payment can squeeze payroll.</t>
  </si>
  <si>
    <t>Public administration and defence</t>
  </si>
  <si>
    <t>Legal authority, fiscal support</t>
  </si>
  <si>
    <t>Formal authority and support are clear.</t>
  </si>
  <si>
    <t>Use bespoke review, not ordinary company ratios.</t>
  </si>
  <si>
    <t>Education</t>
  </si>
  <si>
    <t>Fee collection, liquidity, debt</t>
  </si>
  <si>
    <t>Recurring fees or support cover operations.</t>
  </si>
  <si>
    <t>Separate private providers from state-supported entities.</t>
  </si>
  <si>
    <t>Health and social work</t>
  </si>
  <si>
    <t>Cash flow, receivables, compliance</t>
  </si>
  <si>
    <t>Receivables and compliance are under control.</t>
  </si>
  <si>
    <t>Third-party payment delays matter.</t>
  </si>
  <si>
    <t>Arts, entertainment and recreation</t>
  </si>
  <si>
    <t>Volatility, cash reserve</t>
  </si>
  <si>
    <t>Earnings repeat beyond one event.</t>
  </si>
  <si>
    <t>A single strong event year can flatter results.</t>
  </si>
  <si>
    <t>Other service activities</t>
  </si>
  <si>
    <t>Exact business model</t>
  </si>
  <si>
    <t>Nearest service-sector benchmark fits.</t>
  </si>
  <si>
    <t>Do not guess; match to actual service.</t>
  </si>
  <si>
    <t>Households as employers / own-use</t>
  </si>
  <si>
    <t>Suitability and legal status</t>
  </si>
  <si>
    <t>Bespoke check supports eligibility.</t>
  </si>
  <si>
    <t>Not a normal corporate benchmark case.</t>
  </si>
  <si>
    <t>Extraterritorial organizations</t>
  </si>
  <si>
    <t>Legal status, funding certainty</t>
  </si>
  <si>
    <t>Authority and funding are clear.</t>
  </si>
  <si>
    <t>Ratios are secondary to institutional status.</t>
  </si>
  <si>
    <t>SOURCE REGISTER — BASIS, LIMITS AND CONTROL NOTES</t>
  </si>
  <si>
    <t>This workbook supports the Committee. It does not replace approved criteria, legal advice, audit assurance, or Committee judgement.</t>
  </si>
  <si>
    <t>Area</t>
  </si>
  <si>
    <t>Basis / source</t>
  </si>
  <si>
    <t>How it is used</t>
  </si>
  <si>
    <t>Committee control</t>
  </si>
  <si>
    <t>Financial statements</t>
  </si>
  <si>
    <t>Submitted bidder financial statements</t>
  </si>
  <si>
    <t>Source of all entered figures.</t>
  </si>
  <si>
    <t>Record statement name, year and line item.</t>
  </si>
  <si>
    <t>Ratio formulas</t>
  </si>
  <si>
    <t>Financial Calculations Guide prepared for committee support</t>
  </si>
  <si>
    <t>Core ratios and formula logic.</t>
  </si>
  <si>
    <t>Formula used must match the working paper.</t>
  </si>
  <si>
    <t>Prequalification framework</t>
  </si>
  <si>
    <t>Approved prequalification criteria and OPR framework</t>
  </si>
  <si>
    <t>Keeps financial evaluation inside the exercise rules.</t>
  </si>
  <si>
    <t>Do not introduce new pass/fail tests unless criteria allow.</t>
  </si>
  <si>
    <t>Sector screening</t>
  </si>
  <si>
    <t>Sector-adjusted screening guide</t>
  </si>
  <si>
    <t>Helps read ratios by business type.</t>
  </si>
  <si>
    <t>Use as screening guidance, not statutory threshold.</t>
  </si>
  <si>
    <t>Rating language</t>
  </si>
  <si>
    <t>Committee wording discipline</t>
  </si>
  <si>
    <t>Avoids overclaiming and reckless wording.</t>
  </si>
  <si>
    <t>Use 'indicates', 'raises concern', 'requires clarification'.</t>
  </si>
  <si>
    <t>Workbook limitation</t>
  </si>
  <si>
    <t>Formula outputs depend on user-entered figures</t>
  </si>
  <si>
    <t>If inputs are wrong, results are wrong.</t>
  </si>
  <si>
    <t>Second member checks figures before interpretation.</t>
  </si>
  <si>
    <t>Additional screening ratio where interest exists</t>
  </si>
  <si>
    <t>Tests whether operating profit can pay interest.</t>
  </si>
  <si>
    <t>If interest is blank/zero/not meaningful, record limitation.</t>
  </si>
  <si>
    <t>CHAIRPERSON RELEASE CHECK</t>
  </si>
  <si>
    <t>All bidders entered using the same financial year rule or differences recorded.</t>
  </si>
  <si>
    <t>Each figure traced to statement, year and line item.</t>
  </si>
  <si>
    <t>Yellow input cells only used by committee members.</t>
  </si>
  <si>
    <t>RATIO RESULTS reviewed for blank or Not entered items.</t>
  </si>
  <si>
    <t>DASHBOARD used only after source checking.</t>
  </si>
  <si>
    <t>6</t>
  </si>
  <si>
    <t>FINDING BUILDER wording checked against approved criteria before use.</t>
  </si>
  <si>
    <t>7</t>
  </si>
  <si>
    <t>Workbook retained with working papers for audit trail.</t>
  </si>
  <si>
    <t>INTERNAL DROPDOWN LISTS — DO NOT EDIT</t>
  </si>
  <si>
    <t>Sector List</t>
  </si>
  <si>
    <t>Yes / No / NA</t>
  </si>
  <si>
    <t>Audited</t>
  </si>
  <si>
    <t>Yes</t>
  </si>
  <si>
    <t>Unaudited</t>
  </si>
  <si>
    <t>No</t>
  </si>
  <si>
    <t>Management Accounts</t>
  </si>
  <si>
    <t>Not applicable</t>
  </si>
  <si>
    <t>Electricity, gas, steam and air conditioning</t>
  </si>
  <si>
    <t>Banker Letter Only</t>
  </si>
  <si>
    <t>Water supply, sewerage, waste and remediation</t>
  </si>
  <si>
    <t>Not Provided</t>
  </si>
  <si>
    <t>Other</t>
  </si>
  <si>
    <t>Professional, scientific and technical activities</t>
  </si>
  <si>
    <t>Administrative and support service activities</t>
  </si>
  <si>
    <t>Human health and social work</t>
  </si>
  <si>
    <t>Activities of households as employers / own-use activities</t>
  </si>
  <si>
    <t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</si>
</sst>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;[Red]\-0.0%;&quot;&quot;"/>
    <numFmt numFmtId="177" formatCode="0.00;[Red]\-0.00;&quot;&quot;"/>
    <numFmt numFmtId="178" formatCode="0;[Red]\-0;&quot;&quot;"/>
    <numFmt numFmtId="179" formatCode="#,##0;[Red]\(#,##0\);&quot;&quot;"/>
  </numFmts>
  <fonts count="35">
    <font>
      <sz val="10"/>
      <name val="Arial"/>
      <charset val="1"/>
    </font>
    <font>
      <sz val="11"/>
      <name val="Calibri"/>
      <charset val="1"/>
    </font>
    <font>
      <b/>
      <sz val="12"/>
      <color rgb="FFFFFFFF"/>
      <name val="Calibri"/>
      <charset val="1"/>
    </font>
    <font>
      <b/>
      <sz val="11"/>
      <color rgb="FFFFFFFF"/>
      <name val="Calibri"/>
      <charset val="1"/>
    </font>
    <font>
      <b/>
      <sz val="15"/>
      <color rgb="FFFFFFFF"/>
      <name val="Calibri"/>
      <charset val="1"/>
    </font>
    <font>
      <i/>
      <sz val="11"/>
      <color rgb="FF666666"/>
      <name val="Calibri"/>
      <charset val="1"/>
    </font>
    <font>
      <b/>
      <sz val="10"/>
      <color rgb="FFFFFFFF"/>
      <name val="Calibri"/>
      <charset val="1"/>
    </font>
    <font>
      <b/>
      <sz val="18"/>
      <color rgb="FF17365D"/>
      <name val="Calibri"/>
      <charset val="1"/>
    </font>
    <font>
      <b/>
      <sz val="14"/>
      <color rgb="FFFFFFFF"/>
      <name val="Calibri"/>
      <charset val="1"/>
    </font>
    <font>
      <b/>
      <sz val="8"/>
      <color rgb="FFFFFFFF"/>
      <name val="Calibri"/>
      <charset val="1"/>
    </font>
    <font>
      <b/>
      <sz val="9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color rgb="FF17365D"/>
      <name val="Calibri"/>
      <charset val="1"/>
    </font>
    <font>
      <b/>
      <sz val="12"/>
      <color rgb="FF1F1F1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1F4E78"/>
        <bgColor rgb="FF17365D"/>
      </patternFill>
    </fill>
    <fill>
      <patternFill patternType="solid">
        <fgColor rgb="FFF8F9FA"/>
        <bgColor rgb="FFFFFFFF"/>
      </patternFill>
    </fill>
    <fill>
      <patternFill patternType="solid">
        <fgColor rgb="FFB08D32"/>
        <bgColor rgb="FF808080"/>
      </patternFill>
    </fill>
    <fill>
      <patternFill patternType="solid">
        <fgColor rgb="FFEAF2F8"/>
        <bgColor rgb="FFEBEDEF"/>
      </patternFill>
    </fill>
    <fill>
      <patternFill patternType="solid">
        <fgColor rgb="FFDDEBF7"/>
        <bgColor rgb="FFEBEDEF"/>
      </patternFill>
    </fill>
    <fill>
      <patternFill patternType="solid">
        <fgColor rgb="FFFFF2CC"/>
        <bgColor rgb="FFFFF8E1"/>
      </patternFill>
    </fill>
    <fill>
      <patternFill patternType="solid">
        <fgColor rgb="FFFFF8E1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4" applyNumberFormat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2" borderId="4" applyNumberFormat="0" applyAlignment="0" applyProtection="0">
      <alignment vertical="center"/>
    </xf>
    <xf numFmtId="0" fontId="27" fillId="13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42">
    <xf numFmtId="0" fontId="0" fillId="0" borderId="0" xfId="0" applyFont="1"/>
    <xf numFmtId="0" fontId="1" fillId="0" borderId="0" xfId="0" applyBorder="1" applyAlignment="1" applyProtection="1"/>
    <xf numFmtId="0" fontId="2" fillId="2" borderId="0" xfId="0" applyFont="1" applyFill="1" applyBorder="1" applyAlignment="1" applyProtection="1">
      <alignment horizontal="center"/>
    </xf>
    <xf numFmtId="0" fontId="3" fillId="3" borderId="0" xfId="0" applyFont="1" applyFill="1" applyBorder="1" applyAlignment="1" applyProtection="1"/>
    <xf numFmtId="0" fontId="1" fillId="0" borderId="0" xfId="0" applyFont="1" applyBorder="1" applyAlignment="1" applyProtection="1"/>
    <xf numFmtId="0" fontId="4" fillId="2" borderId="0" xfId="0" applyFont="1" applyFill="1" applyBorder="1" applyAlignment="1" applyProtection="1">
      <alignment horizontal="center"/>
    </xf>
    <xf numFmtId="0" fontId="5" fillId="4" borderId="0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horizontal="center" wrapText="1"/>
    </xf>
    <xf numFmtId="0" fontId="1" fillId="0" borderId="0" xfId="0" applyFont="1" applyBorder="1" applyAlignment="1" applyProtection="1">
      <alignment vertical="top" wrapText="1"/>
    </xf>
    <xf numFmtId="0" fontId="6" fillId="5" borderId="0" xfId="0" applyFont="1" applyFill="1" applyBorder="1" applyAlignment="1" applyProtection="1">
      <alignment horizontal="left" vertical="center"/>
    </xf>
    <xf numFmtId="0" fontId="3" fillId="3" borderId="0" xfId="0" applyFont="1" applyFill="1" applyBorder="1" applyAlignment="1" applyProtection="1">
      <alignment horizontal="center"/>
    </xf>
    <xf numFmtId="0" fontId="1" fillId="0" borderId="0" xfId="0" applyFont="1" applyBorder="1" applyAlignment="1" applyProtection="1">
      <alignment wrapText="1"/>
    </xf>
    <xf numFmtId="0" fontId="6" fillId="2" borderId="0" xfId="0" applyFont="1" applyFill="1" applyBorder="1" applyAlignment="1" applyProtection="1">
      <alignment horizontal="center" wrapText="1"/>
    </xf>
    <xf numFmtId="0" fontId="1" fillId="6" borderId="0" xfId="0" applyFont="1" applyFill="1" applyBorder="1" applyAlignment="1" applyProtection="1">
      <alignment vertical="top" wrapText="1"/>
    </xf>
    <xf numFmtId="0" fontId="5" fillId="4" borderId="0" xfId="0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center" vertical="center" wrapText="1"/>
    </xf>
    <xf numFmtId="0" fontId="7" fillId="7" borderId="0" xfId="0" applyFont="1" applyFill="1" applyBorder="1" applyAlignment="1" applyProtection="1">
      <alignment horizontal="center" vertical="center"/>
    </xf>
    <xf numFmtId="2" fontId="1" fillId="0" borderId="0" xfId="0" applyNumberFormat="1" applyFont="1" applyBorder="1" applyAlignment="1" applyProtection="1">
      <alignment wrapText="1"/>
    </xf>
    <xf numFmtId="10" fontId="1" fillId="0" borderId="0" xfId="0" applyNumberFormat="1" applyFont="1" applyBorder="1" applyAlignment="1" applyProtection="1">
      <alignment wrapText="1"/>
    </xf>
    <xf numFmtId="3" fontId="1" fillId="0" borderId="0" xfId="0" applyNumberFormat="1" applyFont="1" applyBorder="1" applyAlignment="1" applyProtection="1">
      <alignment wrapText="1"/>
    </xf>
    <xf numFmtId="0" fontId="8" fillId="2" borderId="0" xfId="0" applyFont="1" applyFill="1" applyBorder="1" applyAlignment="1" applyProtection="1">
      <alignment horizontal="center"/>
    </xf>
    <xf numFmtId="0" fontId="9" fillId="2" borderId="0" xfId="0" applyFont="1" applyFill="1" applyBorder="1" applyAlignment="1" applyProtection="1">
      <alignment horizontal="center" vertical="center" wrapText="1"/>
    </xf>
    <xf numFmtId="3" fontId="1" fillId="6" borderId="0" xfId="0" applyNumberFormat="1" applyFont="1" applyFill="1" applyBorder="1" applyAlignment="1" applyProtection="1">
      <alignment vertical="top" wrapText="1"/>
    </xf>
    <xf numFmtId="176" fontId="1" fillId="6" borderId="0" xfId="0" applyNumberFormat="1" applyFont="1" applyFill="1" applyBorder="1" applyAlignment="1" applyProtection="1">
      <alignment horizontal="right" vertical="center"/>
    </xf>
    <xf numFmtId="0" fontId="1" fillId="6" borderId="0" xfId="0" applyFont="1" applyFill="1" applyBorder="1" applyAlignment="1" applyProtection="1">
      <alignment horizontal="center" vertical="center" wrapText="1"/>
    </xf>
    <xf numFmtId="177" fontId="1" fillId="6" borderId="0" xfId="0" applyNumberFormat="1" applyFont="1" applyFill="1" applyBorder="1" applyAlignment="1" applyProtection="1">
      <alignment horizontal="right" vertical="center"/>
    </xf>
    <xf numFmtId="178" fontId="1" fillId="6" borderId="0" xfId="0" applyNumberFormat="1" applyFont="1" applyFill="1" applyBorder="1" applyAlignment="1" applyProtection="1">
      <alignment horizontal="right" vertical="center"/>
    </xf>
    <xf numFmtId="179" fontId="1" fillId="6" borderId="0" xfId="0" applyNumberFormat="1" applyFont="1" applyFill="1" applyBorder="1" applyAlignment="1" applyProtection="1">
      <alignment horizontal="right" vertical="center"/>
    </xf>
    <xf numFmtId="0" fontId="1" fillId="6" borderId="0" xfId="0" applyFont="1" applyFill="1" applyBorder="1" applyAlignment="1" applyProtection="1">
      <alignment horizontal="left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 wrapText="1"/>
    </xf>
    <xf numFmtId="0" fontId="1" fillId="6" borderId="0" xfId="0" applyFont="1" applyFill="1" applyBorder="1" applyAlignment="1" applyProtection="1">
      <alignment horizontal="center"/>
    </xf>
    <xf numFmtId="0" fontId="1" fillId="8" borderId="0" xfId="0" applyFont="1" applyFill="1" applyBorder="1" applyAlignment="1" applyProtection="1">
      <alignment vertical="top" wrapText="1"/>
    </xf>
    <xf numFmtId="1" fontId="1" fillId="8" borderId="0" xfId="0" applyNumberFormat="1" applyFont="1" applyFill="1" applyBorder="1" applyAlignment="1" applyProtection="1">
      <alignment vertical="top" wrapText="1"/>
    </xf>
    <xf numFmtId="179" fontId="1" fillId="8" borderId="0" xfId="0" applyNumberFormat="1" applyFont="1" applyFill="1" applyBorder="1" applyAlignment="1" applyProtection="1">
      <alignment vertical="top" wrapText="1"/>
    </xf>
    <xf numFmtId="0" fontId="11" fillId="2" borderId="0" xfId="0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vertical="top"/>
    </xf>
    <xf numFmtId="0" fontId="6" fillId="2" borderId="0" xfId="0" applyFont="1" applyFill="1" applyBorder="1" applyAlignment="1" applyProtection="1">
      <alignment horizontal="left" vertical="center"/>
    </xf>
    <xf numFmtId="0" fontId="12" fillId="7" borderId="0" xfId="0" applyFont="1" applyFill="1" applyBorder="1" applyAlignment="1" applyProtection="1">
      <alignment wrapText="1"/>
    </xf>
    <xf numFmtId="0" fontId="13" fillId="9" borderId="0" xfId="0" applyFont="1" applyFill="1" applyBorder="1" applyAlignment="1" applyProtection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3"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name val="Calibri"/>
        <scheme val="none"/>
        <charset val="1"/>
        <family val="0"/>
        <b val="1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charset val="1"/>
        <family val="0"/>
        <sz val="11"/>
        <color rgb="FF2D572C"/>
      </font>
      <fill>
        <patternFill patternType="solid">
          <bgColor rgb="FFDDEBC8"/>
        </patternFill>
      </fill>
    </dxf>
    <dxf>
      <font>
        <name val="Calibri"/>
        <scheme val="none"/>
        <charset val="1"/>
        <family val="0"/>
        <sz val="11"/>
        <color rgb="FF7F6000"/>
      </font>
      <fill>
        <patternFill patternType="solid">
          <bgColor rgb="FFFFEB9C"/>
        </patternFill>
      </fill>
    </dxf>
    <dxf>
      <font>
        <name val="Calibri"/>
        <scheme val="none"/>
        <charset val="1"/>
        <family val="0"/>
        <b val="1"/>
        <sz val="11"/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i val="1"/>
        <sz val="11"/>
        <color rgb="FF808080"/>
      </font>
      <fill>
        <patternFill patternType="solid">
          <bgColor rgb="FFEBEDEF"/>
        </patternFill>
      </fill>
    </dxf>
    <dxf>
      <font>
        <name val="Calibri"/>
        <scheme val="none"/>
        <charset val="1"/>
        <family val="0"/>
        <b val="1"/>
        <sz val="11"/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i val="1"/>
        <sz val="10"/>
        <color rgb="FF808080"/>
      </font>
      <fill>
        <patternFill patternType="solid">
          <bgColor rgb="FFEBEDEF"/>
        </patternFill>
      </fill>
    </dxf>
    <dxf>
      <font>
        <name val="Calibri"/>
        <scheme val="none"/>
        <charset val="1"/>
        <family val="0"/>
        <b val="1"/>
        <sz val="10"/>
        <color rgb="FF9C4221"/>
      </font>
      <fill>
        <patternFill patternType="solid">
          <bgColor rgb="FFFFC7AA"/>
        </patternFill>
      </fill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ont>
        <family val="2"/>
        <sz val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2"/>
      <tableStyleElement type="headerRow" dxfId="111"/>
      <tableStyleElement type="totalRow" dxfId="110"/>
      <tableStyleElement type="firstColumn" dxfId="109"/>
      <tableStyleElement type="lastColumn" dxfId="108"/>
      <tableStyleElement type="firstRowStripe" dxfId="107"/>
      <tableStyleElement type="firstColumnStripe" dxfId="106"/>
    </tableStyle>
    <tableStyle name="PivotStylePreset2_Accent1" table="0" count="10" xr9:uid="{267968C8-6FFD-4C36-ACC1-9EA1FD1885CA}">
      <tableStyleElement type="headerRow" dxfId="122"/>
      <tableStyleElement type="totalRow" dxfId="121"/>
      <tableStyleElement type="firstRowStripe" dxfId="120"/>
      <tableStyleElement type="firstColumnStripe" dxfId="119"/>
      <tableStyleElement type="firstSubtotalRow" dxfId="118"/>
      <tableStyleElement type="secondSubtotalRow" dxfId="117"/>
      <tableStyleElement type="firstRowSubheading" dxfId="116"/>
      <tableStyleElement type="secondRowSubheading" dxfId="115"/>
      <tableStyleElement type="pageFieldLabels" dxfId="114"/>
      <tableStyleElement type="pageFieldValues" dxfId="1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7F6000"/>
      <rgbColor rgb="00800080"/>
      <rgbColor rgb="00008080"/>
      <rgbColor rgb="00FFC7CE"/>
      <rgbColor rgb="00808080"/>
      <rgbColor rgb="009999FF"/>
      <rgbColor rgb="00993366"/>
      <rgbColor rgb="00FFF8E1"/>
      <rgbColor rgb="00DDEBF7"/>
      <rgbColor rgb="00660066"/>
      <rgbColor rgb="00FF8080"/>
      <rgbColor rgb="000066CC"/>
      <rgbColor rgb="00EBEDE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F2F8"/>
      <rgbColor rgb="00C6EFCE"/>
      <rgbColor rgb="00FFEB9C"/>
      <rgbColor rgb="00DDEBC8"/>
      <rgbColor rgb="00F8F9FA"/>
      <rgbColor rgb="00CC99FF"/>
      <rgbColor rgb="00FFC7AA"/>
      <rgbColor rgb="003366FF"/>
      <rgbColor rgb="0033CCCC"/>
      <rgbColor rgb="0099CC00"/>
      <rgbColor rgb="00FFCC00"/>
      <rgbColor rgb="00FF9900"/>
      <rgbColor rgb="00FF6600"/>
      <rgbColor rgb="00666666"/>
      <rgbColor rgb="00B08D32"/>
      <rgbColor rgb="0017365D"/>
      <rgbColor rgb="00339966"/>
      <rgbColor rgb="00003300"/>
      <rgbColor rgb="002D572C"/>
      <rgbColor rgb="009C4221"/>
      <rgbColor rgb="00993366"/>
      <rgbColor rgb="001F4E78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DataEntryTable" displayName="DataEntryTable" ref="A5:Y35" totalsRowShown="0">
  <tableColumns count="25">
    <tableColumn id="1" name="Record No." dataDxfId="0"/>
    <tableColumn id="2" name="Bidder / Company" dataDxfId="1"/>
    <tableColumn id="3" name="Sector" dataDxfId="2"/>
    <tableColumn id="4" name="Financial Year" dataDxfId="3"/>
    <tableColumn id="5" name="Statement Status" dataDxfId="4"/>
    <tableColumn id="6" name="Contract Value (TTD)" dataDxfId="5"/>
    <tableColumn id="7" name="Revenue" dataDxfId="6"/>
    <tableColumn id="8" name="Cost of Sales / Direct Costs" dataDxfId="7"/>
    <tableColumn id="9" name="Gross Profit (if shown)" dataDxfId="8"/>
    <tableColumn id="10" name="Net Profit After Tax" dataDxfId="9"/>
    <tableColumn id="11" name="Current Assets" dataDxfId="10"/>
    <tableColumn id="12" name="Cash at Bank" dataDxfId="11"/>
    <tableColumn id="13" name="Trade Receivables - Current Year" dataDxfId="12"/>
    <tableColumn id="14" name="Trade Receivables - Prior Year" dataDxfId="13"/>
    <tableColumn id="15" name="Inventory / Stock" dataDxfId="14"/>
    <tableColumn id="16" name="Work in Progress" dataDxfId="15"/>
    <tableColumn id="17" name="Total Assets" dataDxfId="16"/>
    <tableColumn id="18" name="Current Liabilities" dataDxfId="17"/>
    <tableColumn id="19" name="Non-current Liabilities" dataDxfId="18"/>
    <tableColumn id="20" name="Total Liabilities" dataDxfId="19"/>
    <tableColumn id="21" name="Total Equity" dataDxfId="20"/>
    <tableColumn id="22" name="Operating Profit / EBIT" dataDxfId="21"/>
    <tableColumn id="23" name="Interest Expense" dataDxfId="22"/>
    <tableColumn id="24" name="Source Note / Page" dataDxfId="23"/>
    <tableColumn id="25" name="Figure Check Complete?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5" name="RatioResultsTable" displayName="RatioResultsTable" ref="A5:AI35" totalsRowShown="0">
  <tableColumns count="35">
    <tableColumn id="1" name="Record No." dataDxfId="25"/>
    <tableColumn id="2" name="Bidder / Company" dataDxfId="26"/>
    <tableColumn id="3" name="Sector" dataDxfId="27"/>
    <tableColumn id="4" name="Year" dataDxfId="28"/>
    <tableColumn id="5" name="Statement Status" dataDxfId="29"/>
    <tableColumn id="6" name="Data Check" dataDxfId="30"/>
    <tableColumn id="7" name="Gross Profit Used" dataDxfId="31"/>
    <tableColumn id="8" name="Gross Profit Margin" dataDxfId="32"/>
    <tableColumn id="9" name="GPM Rating" dataDxfId="33"/>
    <tableColumn id="10" name="Net Profit Margin" dataDxfId="34"/>
    <tableColumn id="11" name="NPM Rating" dataDxfId="35"/>
    <tableColumn id="12" name="ROA" dataDxfId="36"/>
    <tableColumn id="13" name="ROA Rating" dataDxfId="37"/>
    <tableColumn id="14" name="ROE" dataDxfId="38"/>
    <tableColumn id="15" name="ROE Rating" dataDxfId="39"/>
    <tableColumn id="16" name="Current Ratio" dataDxfId="40"/>
    <tableColumn id="17" name="CR Rating" dataDxfId="41"/>
    <tableColumn id="18" name="Quick Ratio" dataDxfId="42"/>
    <tableColumn id="19" name="QR Rating" dataDxfId="43"/>
    <tableColumn id="20" name="Debt-to-Equity" dataDxfId="44"/>
    <tableColumn id="21" name="D/E Rating" dataDxfId="45"/>
    <tableColumn id="22" name="Equity Ratio" dataDxfId="46"/>
    <tableColumn id="23" name="Equity Rating" dataDxfId="47"/>
    <tableColumn id="24" name="Receivables Turnover" dataDxfId="48"/>
    <tableColumn id="25" name="Collection Days" dataDxfId="49"/>
    <tableColumn id="26" name="Receivables Rating" dataDxfId="50"/>
    <tableColumn id="27" name="Asset Turnover" dataDxfId="51"/>
    <tableColumn id="28" name="Asset Rating" dataDxfId="52"/>
    <tableColumn id="29" name="Working Capital" dataDxfId="53"/>
    <tableColumn id="30" name="WC Rating" dataDxfId="54"/>
    <tableColumn id="31" name="Interest Cover" dataDxfId="55"/>
    <tableColumn id="32" name="ICR Rating" dataDxfId="56"/>
    <tableColumn id="33" name="Overall Score" dataDxfId="57"/>
    <tableColumn id="34" name="Overall Screening Rating" dataDxfId="58"/>
    <tableColumn id="35" name="Main Flag" dataDxfId="5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DashboardTable" displayName="DashboardTable" ref="A8:L38" totalsRowShown="0">
  <tableColumns count="12">
    <tableColumn id="1" name="Record" dataDxfId="68"/>
    <tableColumn id="2" name="Bidder" dataDxfId="69"/>
    <tableColumn id="3" name="Sector" dataDxfId="70"/>
    <tableColumn id="4" name="Year" dataDxfId="71"/>
    <tableColumn id="5" name="Current Ratio" dataDxfId="72"/>
    <tableColumn id="6" name="Debt/Equity" dataDxfId="73"/>
    <tableColumn id="7" name="Net Margin" dataDxfId="74"/>
    <tableColumn id="8" name="Working Capital" dataDxfId="75"/>
    <tableColumn id="9" name="Overall Rating" dataDxfId="76"/>
    <tableColumn id="10" name="Main Flag" dataDxfId="77"/>
    <tableColumn id="11" name="Source Check" dataDxfId="78"/>
    <tableColumn id="12" name="Chair Note" dataDxfId="7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indingBuilderTable" displayName="FindingBuilderTable" ref="A5:H35" totalsRowShown="0">
  <tableColumns count="8">
    <tableColumn id="1" name="Record" dataDxfId="80"/>
    <tableColumn id="2" name="Bidder" dataDxfId="81"/>
    <tableColumn id="3" name="Year" dataDxfId="82"/>
    <tableColumn id="4" name="Overall Rating" dataDxfId="83"/>
    <tableColumn id="5" name="Main Flag" dataDxfId="84"/>
    <tableColumn id="6" name="Model Finding" dataDxfId="85"/>
    <tableColumn id="7" name="Clarification Question" dataDxfId="86"/>
    <tableColumn id="8" name="Chair Check" dataDxfId="8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7" name="StatementMapTable" displayName="StatementMapTable" ref="A5:F21" totalsRowShown="0">
  <tableColumns count="6">
    <tableColumn id="1" name="Figure needed" dataDxfId="88"/>
    <tableColumn id="2" name="Plain meaning" dataDxfId="89"/>
    <tableColumn id="3" name="Statement" dataDxfId="90"/>
    <tableColumn id="4" name="Common line item names" dataDxfId="91"/>
    <tableColumn id="5" name="Used in" dataDxfId="92"/>
    <tableColumn id="6" name="Committee caution" dataDxfId="9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" name="CoreBandsTable" displayName="CoreBandsTable" ref="A6:H12" totalsRowShown="0">
  <tableColumns count="8">
    <tableColumn id="1" name="Ratio" dataDxfId="94"/>
    <tableColumn id="2" name="Plain question" dataDxfId="95"/>
    <tableColumn id="3" name="Strong" dataDxfId="96"/>
    <tableColumn id="4" name="Adequate" dataDxfId="97"/>
    <tableColumn id="5" name="Caution" dataDxfId="98"/>
    <tableColumn id="6" name="High-risk" dataDxfId="99"/>
    <tableColumn id="7" name="Main caution" dataDxfId="100"/>
    <tableColumn id="8" name="Sheet source" dataDxfId="10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6" name="SectorNotesTable" displayName="SectorNotesTable" ref="A15:D36" totalsRowShown="0">
  <tableColumns count="4">
    <tableColumn id="1" name="Sector" dataDxfId="102"/>
    <tableColumn id="2" name="What matters most" dataDxfId="103"/>
    <tableColumn id="3" name="Usually strong when" dataDxfId="104"/>
    <tableColumn id="4" name="Committee caution" dataDxfId="10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opLeftCell="A6" workbookViewId="0">
      <selection activeCell="C15" sqref="C15"/>
    </sheetView>
  </sheetViews>
  <sheetFormatPr defaultColWidth="8.68181818181818" defaultRowHeight="14.5" outlineLevelCol="7"/>
  <cols>
    <col min="1" max="1" width="26" style="1" customWidth="1"/>
    <col min="2" max="2" width="32" style="1" customWidth="1"/>
    <col min="3" max="3" width="64" style="1" customWidth="1"/>
    <col min="4" max="8" width="8" style="1" customWidth="1"/>
  </cols>
  <sheetData>
    <row r="1" ht="30" customHeight="1" spans="1:8">
      <c r="A1" s="35" t="s">
        <v>0</v>
      </c>
      <c r="B1" s="35"/>
      <c r="C1" s="35"/>
      <c r="D1" s="35"/>
      <c r="E1" s="35"/>
      <c r="F1" s="35"/>
      <c r="G1" s="35"/>
      <c r="H1" s="35"/>
    </row>
    <row r="2" ht="24" customHeight="1" spans="1:8">
      <c r="A2" s="36" t="s">
        <v>1</v>
      </c>
      <c r="B2" s="36"/>
      <c r="C2" s="36"/>
      <c r="D2" s="36"/>
      <c r="E2" s="36"/>
      <c r="F2" s="36"/>
      <c r="G2" s="36"/>
      <c r="H2" s="36"/>
    </row>
    <row r="3" spans="1:8">
      <c r="A3" s="4"/>
      <c r="B3" s="4"/>
      <c r="C3" s="4"/>
      <c r="D3" s="4"/>
      <c r="E3" s="4"/>
      <c r="F3" s="4"/>
      <c r="G3" s="4"/>
      <c r="H3" s="4"/>
    </row>
    <row r="4" ht="13" spans="1:8">
      <c r="A4" s="9" t="s">
        <v>2</v>
      </c>
      <c r="B4" s="9"/>
      <c r="C4" s="9"/>
      <c r="D4" s="9"/>
      <c r="E4" s="9"/>
      <c r="F4" s="9"/>
      <c r="G4" s="9"/>
      <c r="H4" s="9"/>
    </row>
    <row r="5" ht="29" spans="1:8">
      <c r="A5" s="37" t="s">
        <v>3</v>
      </c>
      <c r="B5" s="38" t="s">
        <v>4</v>
      </c>
      <c r="C5" s="8" t="s">
        <v>5</v>
      </c>
      <c r="D5" s="4"/>
      <c r="E5" s="4"/>
      <c r="F5" s="4"/>
      <c r="G5" s="4"/>
      <c r="H5" s="4"/>
    </row>
    <row r="6" spans="1:8">
      <c r="A6" s="37" t="s">
        <v>6</v>
      </c>
      <c r="B6" s="38" t="s">
        <v>7</v>
      </c>
      <c r="C6" s="8" t="s">
        <v>8</v>
      </c>
      <c r="D6" s="4"/>
      <c r="E6" s="4"/>
      <c r="F6" s="4"/>
      <c r="G6" s="4"/>
      <c r="H6" s="4"/>
    </row>
    <row r="7" spans="1:8">
      <c r="A7" s="37" t="s">
        <v>9</v>
      </c>
      <c r="B7" s="38" t="s">
        <v>10</v>
      </c>
      <c r="C7" s="8" t="s">
        <v>11</v>
      </c>
      <c r="D7" s="4"/>
      <c r="E7" s="4"/>
      <c r="F7" s="4"/>
      <c r="G7" s="4"/>
      <c r="H7" s="4"/>
    </row>
    <row r="8" spans="1:8">
      <c r="A8" s="37" t="s">
        <v>12</v>
      </c>
      <c r="B8" s="38" t="s">
        <v>13</v>
      </c>
      <c r="C8" s="8" t="s">
        <v>14</v>
      </c>
      <c r="D8" s="4"/>
      <c r="E8" s="4"/>
      <c r="F8" s="4"/>
      <c r="G8" s="4"/>
      <c r="H8" s="4"/>
    </row>
    <row r="9" spans="1:8">
      <c r="A9" s="37" t="s">
        <v>15</v>
      </c>
      <c r="B9" s="38" t="s">
        <v>16</v>
      </c>
      <c r="C9" s="8" t="s">
        <v>17</v>
      </c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ht="13" spans="1:8">
      <c r="A11" s="39" t="s">
        <v>18</v>
      </c>
      <c r="B11" s="39"/>
      <c r="C11" s="39"/>
      <c r="D11" s="39"/>
      <c r="E11" s="39"/>
      <c r="F11" s="39"/>
      <c r="G11" s="39"/>
      <c r="H11" s="39"/>
    </row>
    <row r="12" ht="29" spans="1:8">
      <c r="A12" s="40" t="s">
        <v>19</v>
      </c>
      <c r="B12" s="11" t="s">
        <v>20</v>
      </c>
      <c r="C12" s="4"/>
      <c r="D12" s="4"/>
      <c r="E12" s="4"/>
      <c r="F12" s="4"/>
      <c r="G12" s="4"/>
      <c r="H12" s="4"/>
    </row>
    <row r="13" ht="43.5" spans="1:8">
      <c r="A13" s="40" t="s">
        <v>21</v>
      </c>
      <c r="B13" s="11" t="s">
        <v>22</v>
      </c>
      <c r="C13" s="4"/>
      <c r="D13" s="4"/>
      <c r="E13" s="4"/>
      <c r="F13" s="4"/>
      <c r="G13" s="4"/>
      <c r="H13" s="4"/>
    </row>
    <row r="14" ht="29" spans="1:8">
      <c r="A14" s="40" t="s">
        <v>23</v>
      </c>
      <c r="B14" s="11" t="s">
        <v>24</v>
      </c>
      <c r="C14" s="4"/>
      <c r="D14" s="4"/>
      <c r="E14" s="4"/>
      <c r="F14" s="4"/>
      <c r="G14" s="4"/>
      <c r="H14" s="4"/>
    </row>
    <row r="15" ht="43.5" spans="1:8">
      <c r="A15" s="40" t="s">
        <v>25</v>
      </c>
      <c r="B15" s="11" t="s">
        <v>26</v>
      </c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ht="13" spans="1:8">
      <c r="A17" s="9" t="s">
        <v>27</v>
      </c>
      <c r="B17" s="9"/>
      <c r="C17" s="9"/>
      <c r="D17" s="9"/>
      <c r="E17" s="9"/>
      <c r="F17" s="9"/>
      <c r="G17" s="9"/>
      <c r="H17" s="9"/>
    </row>
    <row r="18" ht="15" customHeight="1" spans="1:8">
      <c r="A18" s="41" t="s">
        <v>28</v>
      </c>
      <c r="B18" s="41"/>
      <c r="C18" s="41"/>
      <c r="D18" s="41"/>
      <c r="E18" s="41"/>
      <c r="F18" s="41"/>
      <c r="G18" s="41"/>
      <c r="H18" s="41"/>
    </row>
    <row r="19" ht="12.5" spans="1:8">
      <c r="A19" s="41"/>
      <c r="B19" s="41"/>
      <c r="C19" s="41"/>
      <c r="D19" s="41"/>
      <c r="E19" s="41"/>
      <c r="F19" s="41"/>
      <c r="G19" s="41"/>
      <c r="H19" s="41"/>
    </row>
  </sheetData>
  <mergeCells count="6">
    <mergeCell ref="A1:H1"/>
    <mergeCell ref="A2:H2"/>
    <mergeCell ref="A4:H4"/>
    <mergeCell ref="A11:H11"/>
    <mergeCell ref="A17:H17"/>
    <mergeCell ref="A18:H1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1" sqref="A1:Y1"/>
    </sheetView>
  </sheetViews>
  <sheetFormatPr defaultColWidth="8.68181818181818" defaultRowHeight="14.5"/>
  <cols>
    <col min="1" max="1" width="10" style="1" customWidth="1"/>
    <col min="2" max="3" width="28" style="1" customWidth="1"/>
    <col min="4" max="4" width="13" style="1" customWidth="1"/>
    <col min="5" max="5" width="18" style="1" customWidth="1"/>
    <col min="6" max="6" width="16" style="1" customWidth="1"/>
    <col min="7" max="11" width="14" style="1" customWidth="1"/>
    <col min="12" max="12" width="12" style="1" customWidth="1"/>
    <col min="13" max="14" width="16" style="1" customWidth="1"/>
    <col min="15" max="15" width="12" style="1" customWidth="1"/>
    <col min="16" max="18" width="14" style="1" customWidth="1"/>
    <col min="19" max="19" width="16" style="1" customWidth="1"/>
    <col min="20" max="23" width="14" style="1" customWidth="1"/>
    <col min="24" max="24" width="22" style="1" customWidth="1"/>
    <col min="25" max="25" width="14" style="1" customWidth="1"/>
  </cols>
  <sheetData>
    <row r="1" ht="27.75" customHeight="1" spans="1:25">
      <c r="A1" s="29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ht="15" customHeight="1" spans="1:2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2.5" spans="1: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1.5" customHeight="1" spans="1:25">
      <c r="A5" s="30" t="s">
        <v>31</v>
      </c>
      <c r="B5" s="30" t="s">
        <v>32</v>
      </c>
      <c r="C5" s="30" t="s">
        <v>33</v>
      </c>
      <c r="D5" s="30" t="s">
        <v>34</v>
      </c>
      <c r="E5" s="30" t="s">
        <v>35</v>
      </c>
      <c r="F5" s="30" t="s">
        <v>36</v>
      </c>
      <c r="G5" s="30" t="s">
        <v>37</v>
      </c>
      <c r="H5" s="30" t="s">
        <v>38</v>
      </c>
      <c r="I5" s="30" t="s">
        <v>39</v>
      </c>
      <c r="J5" s="30" t="s">
        <v>40</v>
      </c>
      <c r="K5" s="30" t="s">
        <v>41</v>
      </c>
      <c r="L5" s="30" t="s">
        <v>42</v>
      </c>
      <c r="M5" s="30" t="s">
        <v>43</v>
      </c>
      <c r="N5" s="30" t="s">
        <v>44</v>
      </c>
      <c r="O5" s="30" t="s">
        <v>45</v>
      </c>
      <c r="P5" s="30" t="s">
        <v>46</v>
      </c>
      <c r="Q5" s="30" t="s">
        <v>47</v>
      </c>
      <c r="R5" s="30" t="s">
        <v>48</v>
      </c>
      <c r="S5" s="30" t="s">
        <v>49</v>
      </c>
      <c r="T5" s="30" t="s">
        <v>50</v>
      </c>
      <c r="U5" s="30" t="s">
        <v>51</v>
      </c>
      <c r="V5" s="30" t="s">
        <v>52</v>
      </c>
      <c r="W5" s="30" t="s">
        <v>53</v>
      </c>
      <c r="X5" s="30" t="s">
        <v>54</v>
      </c>
      <c r="Y5" s="30" t="s">
        <v>55</v>
      </c>
    </row>
    <row r="6" spans="1:25">
      <c r="A6" s="31" t="str">
        <f t="shared" ref="A6:A35" si="0">IF($B6&lt;&gt;"",ROW()-5,"")</f>
        <v/>
      </c>
      <c r="B6" s="32"/>
      <c r="C6" s="32"/>
      <c r="D6" s="33"/>
      <c r="E6" s="32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2"/>
      <c r="Y6" s="32"/>
    </row>
    <row r="7" spans="1:25">
      <c r="A7" s="31" t="str">
        <f t="shared" si="0"/>
        <v/>
      </c>
      <c r="B7" s="32"/>
      <c r="C7" s="32"/>
      <c r="D7" s="33"/>
      <c r="E7" s="32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2"/>
      <c r="Y7" s="32"/>
    </row>
    <row r="8" spans="1:25">
      <c r="A8" s="31" t="str">
        <f t="shared" si="0"/>
        <v/>
      </c>
      <c r="B8" s="32"/>
      <c r="C8" s="32"/>
      <c r="D8" s="33"/>
      <c r="E8" s="32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2"/>
      <c r="Y8" s="32"/>
    </row>
    <row r="9" spans="1:25">
      <c r="A9" s="31" t="str">
        <f t="shared" si="0"/>
        <v/>
      </c>
      <c r="B9" s="32"/>
      <c r="C9" s="32"/>
      <c r="D9" s="33"/>
      <c r="E9" s="32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2"/>
      <c r="Y9" s="32"/>
    </row>
    <row r="10" spans="1:25">
      <c r="A10" s="31" t="str">
        <f t="shared" si="0"/>
        <v/>
      </c>
      <c r="B10" s="32"/>
      <c r="C10" s="32"/>
      <c r="D10" s="33"/>
      <c r="E10" s="3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2"/>
      <c r="Y10" s="32"/>
    </row>
    <row r="11" spans="1:25">
      <c r="A11" s="31" t="str">
        <f t="shared" si="0"/>
        <v/>
      </c>
      <c r="B11" s="32"/>
      <c r="C11" s="32"/>
      <c r="D11" s="33"/>
      <c r="E11" s="3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2"/>
      <c r="Y11" s="32"/>
    </row>
    <row r="12" spans="1:25">
      <c r="A12" s="31" t="str">
        <f t="shared" si="0"/>
        <v/>
      </c>
      <c r="B12" s="32"/>
      <c r="C12" s="32"/>
      <c r="D12" s="33"/>
      <c r="E12" s="3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2"/>
      <c r="Y12" s="32"/>
    </row>
    <row r="13" spans="1:25">
      <c r="A13" s="31" t="str">
        <f t="shared" si="0"/>
        <v/>
      </c>
      <c r="B13" s="32"/>
      <c r="C13" s="32"/>
      <c r="D13" s="33"/>
      <c r="E13" s="32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2"/>
      <c r="Y13" s="32"/>
    </row>
    <row r="14" spans="1:25">
      <c r="A14" s="31" t="str">
        <f t="shared" si="0"/>
        <v/>
      </c>
      <c r="B14" s="32"/>
      <c r="C14" s="32"/>
      <c r="D14" s="33"/>
      <c r="E14" s="32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2"/>
      <c r="Y14" s="32"/>
    </row>
    <row r="15" spans="1:25">
      <c r="A15" s="31" t="str">
        <f t="shared" si="0"/>
        <v/>
      </c>
      <c r="B15" s="32"/>
      <c r="C15" s="32"/>
      <c r="D15" s="33"/>
      <c r="E15" s="32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2"/>
      <c r="Y15" s="32"/>
    </row>
    <row r="16" spans="1:25">
      <c r="A16" s="31" t="str">
        <f t="shared" si="0"/>
        <v/>
      </c>
      <c r="B16" s="32"/>
      <c r="C16" s="32"/>
      <c r="D16" s="33"/>
      <c r="E16" s="32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2"/>
      <c r="Y16" s="32"/>
    </row>
    <row r="17" spans="1:25">
      <c r="A17" s="31" t="str">
        <f t="shared" si="0"/>
        <v/>
      </c>
      <c r="B17" s="32"/>
      <c r="C17" s="32"/>
      <c r="D17" s="33"/>
      <c r="E17" s="32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2"/>
      <c r="Y17" s="32"/>
    </row>
    <row r="18" spans="1:25">
      <c r="A18" s="31" t="str">
        <f t="shared" si="0"/>
        <v/>
      </c>
      <c r="B18" s="32"/>
      <c r="C18" s="32"/>
      <c r="D18" s="33"/>
      <c r="E18" s="32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2"/>
      <c r="Y18" s="32"/>
    </row>
    <row r="19" spans="1:25">
      <c r="A19" s="31" t="str">
        <f t="shared" si="0"/>
        <v/>
      </c>
      <c r="B19" s="32"/>
      <c r="C19" s="32"/>
      <c r="D19" s="33"/>
      <c r="E19" s="32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2"/>
      <c r="Y19" s="32"/>
    </row>
    <row r="20" spans="1:25">
      <c r="A20" s="31" t="str">
        <f t="shared" si="0"/>
        <v/>
      </c>
      <c r="B20" s="32"/>
      <c r="C20" s="32"/>
      <c r="D20" s="33"/>
      <c r="E20" s="32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2"/>
      <c r="Y20" s="32"/>
    </row>
    <row r="21" spans="1:25">
      <c r="A21" s="31" t="str">
        <f t="shared" si="0"/>
        <v/>
      </c>
      <c r="B21" s="32"/>
      <c r="C21" s="32"/>
      <c r="D21" s="33"/>
      <c r="E21" s="32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2"/>
      <c r="Y21" s="32"/>
    </row>
    <row r="22" spans="1:25">
      <c r="A22" s="31" t="str">
        <f t="shared" si="0"/>
        <v/>
      </c>
      <c r="B22" s="32"/>
      <c r="C22" s="32"/>
      <c r="D22" s="33"/>
      <c r="E22" s="32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2"/>
      <c r="Y22" s="32"/>
    </row>
    <row r="23" spans="1:25">
      <c r="A23" s="31" t="str">
        <f t="shared" si="0"/>
        <v/>
      </c>
      <c r="B23" s="32"/>
      <c r="C23" s="32"/>
      <c r="D23" s="33"/>
      <c r="E23" s="32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2"/>
      <c r="Y23" s="32"/>
    </row>
    <row r="24" spans="1:25">
      <c r="A24" s="31" t="str">
        <f t="shared" si="0"/>
        <v/>
      </c>
      <c r="B24" s="32"/>
      <c r="C24" s="32"/>
      <c r="D24" s="33"/>
      <c r="E24" s="32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2"/>
      <c r="Y24" s="32"/>
    </row>
    <row r="25" spans="1:25">
      <c r="A25" s="31" t="str">
        <f t="shared" si="0"/>
        <v/>
      </c>
      <c r="B25" s="32"/>
      <c r="C25" s="32"/>
      <c r="D25" s="33"/>
      <c r="E25" s="32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2"/>
      <c r="Y25" s="32"/>
    </row>
    <row r="26" spans="1:25">
      <c r="A26" s="31" t="str">
        <f t="shared" si="0"/>
        <v/>
      </c>
      <c r="B26" s="32"/>
      <c r="C26" s="32"/>
      <c r="D26" s="33"/>
      <c r="E26" s="32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2"/>
      <c r="Y26" s="32"/>
    </row>
    <row r="27" spans="1:25">
      <c r="A27" s="31" t="str">
        <f t="shared" si="0"/>
        <v/>
      </c>
      <c r="B27" s="32"/>
      <c r="C27" s="32"/>
      <c r="D27" s="33"/>
      <c r="E27" s="32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2"/>
      <c r="Y27" s="32"/>
    </row>
    <row r="28" spans="1:25">
      <c r="A28" s="31" t="str">
        <f t="shared" si="0"/>
        <v/>
      </c>
      <c r="B28" s="32"/>
      <c r="C28" s="32"/>
      <c r="D28" s="33"/>
      <c r="E28" s="32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2"/>
      <c r="Y28" s="32"/>
    </row>
    <row r="29" spans="1:25">
      <c r="A29" s="31" t="str">
        <f t="shared" si="0"/>
        <v/>
      </c>
      <c r="B29" s="32"/>
      <c r="C29" s="32"/>
      <c r="D29" s="33"/>
      <c r="E29" s="32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2"/>
      <c r="Y29" s="32"/>
    </row>
    <row r="30" spans="1:25">
      <c r="A30" s="31" t="str">
        <f t="shared" si="0"/>
        <v/>
      </c>
      <c r="B30" s="32"/>
      <c r="C30" s="32"/>
      <c r="D30" s="33"/>
      <c r="E30" s="3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2"/>
      <c r="Y30" s="32"/>
    </row>
    <row r="31" spans="1:25">
      <c r="A31" s="31" t="str">
        <f t="shared" si="0"/>
        <v/>
      </c>
      <c r="B31" s="32"/>
      <c r="C31" s="32"/>
      <c r="D31" s="33"/>
      <c r="E31" s="32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2"/>
      <c r="Y31" s="32"/>
    </row>
    <row r="32" spans="1:25">
      <c r="A32" s="31" t="str">
        <f t="shared" si="0"/>
        <v/>
      </c>
      <c r="B32" s="32"/>
      <c r="C32" s="32"/>
      <c r="D32" s="33"/>
      <c r="E32" s="32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2"/>
      <c r="Y32" s="32"/>
    </row>
    <row r="33" spans="1:25">
      <c r="A33" s="31" t="str">
        <f t="shared" si="0"/>
        <v/>
      </c>
      <c r="B33" s="32"/>
      <c r="C33" s="32"/>
      <c r="D33" s="33"/>
      <c r="E33" s="32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2"/>
      <c r="Y33" s="32"/>
    </row>
    <row r="34" spans="1:25">
      <c r="A34" s="31" t="str">
        <f t="shared" si="0"/>
        <v/>
      </c>
      <c r="B34" s="32"/>
      <c r="C34" s="32"/>
      <c r="D34" s="33"/>
      <c r="E34" s="32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2"/>
      <c r="Y34" s="32"/>
    </row>
    <row r="35" spans="1:25">
      <c r="A35" s="31" t="str">
        <f t="shared" si="0"/>
        <v/>
      </c>
      <c r="B35" s="32"/>
      <c r="C35" s="32"/>
      <c r="D35" s="33"/>
      <c r="E35" s="32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2"/>
      <c r="Y35" s="32"/>
    </row>
  </sheetData>
  <mergeCells count="2">
    <mergeCell ref="A1:Y1"/>
    <mergeCell ref="A2:Y3"/>
  </mergeCells>
  <dataValidations count="3">
    <dataValidation type="list" sqref="C6:C35">
      <formula1>'VALIDATION LISTS'!$A$3:$A$23</formula1>
    </dataValidation>
    <dataValidation type="list" sqref="E6:E35">
      <formula1>'VALIDATION LISTS'!$C$3:$C$8</formula1>
    </dataValidation>
    <dataValidation type="list" sqref="Y6:Y35">
      <formula1>'VALIDATION LISTS'!$E$3:$E$5</formula1>
    </dataValidation>
  </dataValidation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1" sqref="A1:AI1"/>
    </sheetView>
  </sheetViews>
  <sheetFormatPr defaultColWidth="8.68181818181818" defaultRowHeight="14.5"/>
  <cols>
    <col min="1" max="1" width="8" style="1" customWidth="1"/>
    <col min="2" max="2" width="26" style="1" customWidth="1"/>
    <col min="3" max="3" width="22" style="1" customWidth="1"/>
    <col min="4" max="4" width="9" style="1" customWidth="1"/>
    <col min="5" max="5" width="16" style="1" customWidth="1"/>
    <col min="6" max="6" width="12" style="1" customWidth="1"/>
    <col min="7" max="7" width="14" style="1" customWidth="1"/>
    <col min="8" max="8" width="9" style="1" customWidth="1"/>
    <col min="9" max="9" width="12" style="1" customWidth="1"/>
    <col min="10" max="10" width="9" style="1" customWidth="1"/>
    <col min="11" max="11" width="12" style="1" customWidth="1"/>
    <col min="12" max="12" width="9" style="1" customWidth="1"/>
    <col min="13" max="13" width="12" style="1" customWidth="1"/>
    <col min="14" max="14" width="9" style="1" customWidth="1"/>
    <col min="15" max="15" width="12" style="1" customWidth="1"/>
    <col min="16" max="16" width="9" style="1" customWidth="1"/>
    <col min="17" max="17" width="12" style="1" customWidth="1"/>
    <col min="18" max="18" width="9" style="1" customWidth="1"/>
    <col min="19" max="19" width="12" style="1" customWidth="1"/>
    <col min="20" max="20" width="9" style="1" customWidth="1"/>
    <col min="21" max="21" width="12" style="1" customWidth="1"/>
    <col min="22" max="22" width="9" style="1" customWidth="1"/>
    <col min="23" max="23" width="12" style="1" customWidth="1"/>
    <col min="24" max="24" width="10" style="1" customWidth="1"/>
    <col min="25" max="25" width="9" style="1" customWidth="1"/>
    <col min="26" max="26" width="12" style="1" customWidth="1"/>
    <col min="27" max="27" width="10" style="1" customWidth="1"/>
    <col min="28" max="28" width="12" style="1" customWidth="1"/>
    <col min="29" max="29" width="13" style="1" customWidth="1"/>
    <col min="30" max="30" width="12" style="1" customWidth="1"/>
    <col min="31" max="31" width="9" style="1" customWidth="1"/>
    <col min="32" max="32" width="12" style="1" customWidth="1"/>
    <col min="33" max="33" width="8" style="1" customWidth="1"/>
    <col min="34" max="34" width="22" style="1" customWidth="1"/>
    <col min="35" max="35" width="38" style="1" customWidth="1"/>
  </cols>
  <sheetData>
    <row r="1" ht="27.75" customHeight="1" spans="1:35">
      <c r="A1" s="20" t="s">
        <v>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ht="15" customHeight="1" spans="1:35">
      <c r="A2" s="6" t="s">
        <v>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2.5" spans="1: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1.5" customHeight="1" spans="1:35">
      <c r="A5" s="21" t="s">
        <v>31</v>
      </c>
      <c r="B5" s="21" t="s">
        <v>32</v>
      </c>
      <c r="C5" s="21" t="s">
        <v>33</v>
      </c>
      <c r="D5" s="21" t="s">
        <v>58</v>
      </c>
      <c r="E5" s="21" t="s">
        <v>35</v>
      </c>
      <c r="F5" s="21" t="s">
        <v>59</v>
      </c>
      <c r="G5" s="21" t="s">
        <v>60</v>
      </c>
      <c r="H5" s="21" t="s">
        <v>61</v>
      </c>
      <c r="I5" s="21" t="s">
        <v>62</v>
      </c>
      <c r="J5" s="21" t="s">
        <v>63</v>
      </c>
      <c r="K5" s="21" t="s">
        <v>64</v>
      </c>
      <c r="L5" s="21" t="s">
        <v>65</v>
      </c>
      <c r="M5" s="21" t="s">
        <v>66</v>
      </c>
      <c r="N5" s="21" t="s">
        <v>67</v>
      </c>
      <c r="O5" s="21" t="s">
        <v>68</v>
      </c>
      <c r="P5" s="21" t="s">
        <v>69</v>
      </c>
      <c r="Q5" s="21" t="s">
        <v>70</v>
      </c>
      <c r="R5" s="21" t="s">
        <v>71</v>
      </c>
      <c r="S5" s="21" t="s">
        <v>72</v>
      </c>
      <c r="T5" s="21" t="s">
        <v>73</v>
      </c>
      <c r="U5" s="21" t="s">
        <v>74</v>
      </c>
      <c r="V5" s="21" t="s">
        <v>75</v>
      </c>
      <c r="W5" s="21" t="s">
        <v>76</v>
      </c>
      <c r="X5" s="21" t="s">
        <v>77</v>
      </c>
      <c r="Y5" s="21" t="s">
        <v>78</v>
      </c>
      <c r="Z5" s="21" t="s">
        <v>79</v>
      </c>
      <c r="AA5" s="21" t="s">
        <v>80</v>
      </c>
      <c r="AB5" s="21" t="s">
        <v>81</v>
      </c>
      <c r="AC5" s="21" t="s">
        <v>82</v>
      </c>
      <c r="AD5" s="21" t="s">
        <v>83</v>
      </c>
      <c r="AE5" s="21" t="s">
        <v>84</v>
      </c>
      <c r="AF5" s="21" t="s">
        <v>85</v>
      </c>
      <c r="AG5" s="21" t="s">
        <v>86</v>
      </c>
      <c r="AH5" s="21" t="s">
        <v>87</v>
      </c>
      <c r="AI5" s="21" t="s">
        <v>88</v>
      </c>
    </row>
    <row r="6" spans="1:35">
      <c r="A6" s="13" t="str">
        <f>IF('DATA ENTRY'!$B6&lt;&gt;"",'DATA ENTRY'!$A6,"")</f>
        <v/>
      </c>
      <c r="B6" s="13" t="str">
        <f>IF('DATA ENTRY'!$B6&lt;&gt;"",'DATA ENTRY'!$B6,"")</f>
        <v/>
      </c>
      <c r="C6" s="13" t="str">
        <f>IF('DATA ENTRY'!$B6&lt;&gt;"",'DATA ENTRY'!$C6,"")</f>
        <v/>
      </c>
      <c r="D6" s="13" t="str">
        <f>IF('DATA ENTRY'!$B6&lt;&gt;"",'DATA ENTRY'!$D6,"")</f>
        <v/>
      </c>
      <c r="E6" s="13" t="str">
        <f>IF('DATA ENTRY'!$B6&lt;&gt;"",'DATA ENTRY'!$E6,"")</f>
        <v/>
      </c>
      <c r="F6" s="13" t="str">
        <f>IF($B6="","",IF('DATA ENTRY'!$Y6="Yes","Checked",IF('DATA ENTRY'!$Y6="No","Needs check","Not marked")))</f>
        <v/>
      </c>
      <c r="G6" s="22" t="str">
        <f>IF($B6="","",IF('DATA ENTRY'!$I6&lt;&gt;"",'DATA ENTRY'!$I6,IF(AND('DATA ENTRY'!$G6&lt;&gt;"",'DATA ENTRY'!$H6&lt;&gt;""),'DATA ENTRY'!$G6-'DATA ENTRY'!$H6,"")))</f>
        <v/>
      </c>
      <c r="H6" s="23" t="str">
        <f>IF(OR($B6="",$G6="",'DATA ENTRY'!$G6=""),"",IFERROR($G6/'DATA ENTRY'!$G6,""))</f>
        <v/>
      </c>
      <c r="I6" s="24" t="str">
        <f t="shared" ref="I6:I35" si="0">IF($B6="","",IF($H6="","Not entered",IF($H6&gt;=0.25,"Strong",IF($H6&gt;=0.15,"Adequate",IF($H6&gt;=0.05,"Caution","High-risk")))))</f>
        <v/>
      </c>
      <c r="J6" s="23" t="str">
        <f>IF(OR($B6="",'DATA ENTRY'!$J6="",'DATA ENTRY'!$G6=""),"",IFERROR('DATA ENTRY'!$J6/'DATA ENTRY'!$G6,""))</f>
        <v/>
      </c>
      <c r="K6" s="24" t="str">
        <f t="shared" ref="K6:K35" si="1">IF($B6="","",IF($J6="","Not entered",IF($J6&gt;=0.08,"Strong",IF($J6&gt;=0.03,"Adequate",IF($J6&gt;=0,"Caution","High-risk")))))</f>
        <v/>
      </c>
      <c r="L6" s="23" t="str">
        <f>IF(OR($B6="",'DATA ENTRY'!$J6="",'DATA ENTRY'!$Q6=""),"",IFERROR('DATA ENTRY'!$J6/'DATA ENTRY'!$Q6,""))</f>
        <v/>
      </c>
      <c r="M6" s="24" t="str">
        <f t="shared" ref="M6:M35" si="2">IF($B6="","",IF($L6="","Not entered",IF($L6&gt;=0.1,"Strong",IF($L6&gt;=0.05,"Adequate",IF($L6&gt;=0,"Caution","High-risk")))))</f>
        <v/>
      </c>
      <c r="N6" s="23" t="str">
        <f>IF(OR($B6="",'DATA ENTRY'!$J6="",'DATA ENTRY'!$U6="",'DATA ENTRY'!$U6&lt;=0),"",IFERROR('DATA ENTRY'!$J6/'DATA ENTRY'!$U6,""))</f>
        <v/>
      </c>
      <c r="O6" s="24" t="str">
        <f>IF($B6="","",IF(OR('DATA ENTRY'!$J6="",'DATA ENTRY'!$U6=""),"Not entered",IF('DATA ENTRY'!$U6&lt;=0,"High-risk",IF($N6&gt;=0.15,"Strong",IF($N6&gt;=0.08,"Adequate",IF($N6&gt;=0,"Caution","High-risk"))))))</f>
        <v/>
      </c>
      <c r="P6" s="25" t="str">
        <f>IF(OR($B6="",'DATA ENTRY'!$K6="",'DATA ENTRY'!$R6=""),"",IFERROR('DATA ENTRY'!$K6/'DATA ENTRY'!$R6,""))</f>
        <v/>
      </c>
      <c r="Q6" s="24" t="str">
        <f t="shared" ref="Q6:Q35" si="3">IF($B6="","",IF($P6="","Not entered",IF($P6&gt;=1.5,"Strong",IF($P6&gt;=1.2,"Adequate",IF($P6&gt;=1,"Caution","High-risk")))))</f>
        <v/>
      </c>
      <c r="R6" s="25" t="str">
        <f>IF(OR($B6="",'DATA ENTRY'!$K6="",'DATA ENTRY'!$R6=""),"",IFERROR(('DATA ENTRY'!$K6-IF('DATA ENTRY'!$O6="",0,'DATA ENTRY'!$O6))/'DATA ENTRY'!$R6,""))</f>
        <v/>
      </c>
      <c r="S6" s="24" t="str">
        <f t="shared" ref="S6:S35" si="4">IF($B6="","",IF($R6="","Not entered",IF($R6&gt;=1,"Strong",IF($R6&gt;=0.8,"Adequate",IF($R6&gt;=0.6,"Caution","High-risk")))))</f>
        <v/>
      </c>
      <c r="T6" s="25" t="str">
        <f>IF(OR($B6="",'DATA ENTRY'!$T6="",'DATA ENTRY'!$U6="",'DATA ENTRY'!$U6&lt;=0),"",IFERROR('DATA ENTRY'!$T6/'DATA ENTRY'!$U6,""))</f>
        <v/>
      </c>
      <c r="U6" s="24" t="str">
        <f>IF($B6="","",IF(OR('DATA ENTRY'!$T6="",'DATA ENTRY'!$U6=""),"Not entered",IF('DATA ENTRY'!$U6&lt;=0,"High-risk",IF($T6&lt;=1,"Strong",IF($T6&lt;=1.5,"Adequate",IF($T6&lt;=2,"Caution","High-risk"))))))</f>
        <v/>
      </c>
      <c r="V6" s="23" t="str">
        <f>IF(OR($B6="",'DATA ENTRY'!$U6="",'DATA ENTRY'!$Q6=""),"",IFERROR('DATA ENTRY'!$U6/'DATA ENTRY'!$Q6,""))</f>
        <v/>
      </c>
      <c r="W6" s="24" t="str">
        <f t="shared" ref="W6:W35" si="5">IF($B6="","",IF($V6="","Not entered",IF($V6&gt;=0.5,"Strong",IF($V6&gt;=0.3,"Adequate",IF($V6&gt;=0.2,"Caution","High-risk")))))</f>
        <v/>
      </c>
      <c r="X6" s="25" t="str">
        <f>IF(OR($B6="",'DATA ENTRY'!$G6="",'DATA ENTRY'!$M6=""),"",IF('DATA ENTRY'!$N6&lt;&gt;"",'DATA ENTRY'!$G6/AVERAGE('DATA ENTRY'!$M6,'DATA ENTRY'!$N6),IFERROR('DATA ENTRY'!$G6/'DATA ENTRY'!$M6,"")))</f>
        <v/>
      </c>
      <c r="Y6" s="26" t="str">
        <f t="shared" ref="Y6:Y35" si="6">IF($X6="","",IFERROR(365/$X6,""))</f>
        <v/>
      </c>
      <c r="Z6" s="24" t="str">
        <f t="shared" ref="Z6:Z35" si="7">IF($B6="","",IF($X6="","Not entered",IF($Y6&lt;=60,"Strong",IF($Y6&lt;=90,"Adequate",IF($Y6&lt;=120,"Caution","High-risk")))))</f>
        <v/>
      </c>
      <c r="AA6" s="25" t="str">
        <f>IF(OR($B6="",'DATA ENTRY'!$G6="",'DATA ENTRY'!$Q6=""),"",IFERROR('DATA ENTRY'!$G6/'DATA ENTRY'!$Q6,""))</f>
        <v/>
      </c>
      <c r="AB6" s="24" t="str">
        <f t="shared" ref="AB6:AB35" si="8">IF($B6="","",IF($AA6="","Not entered",IF($AA6&gt;=1.5,"Strong",IF($AA6&gt;=1,"Adequate",IF($AA6&gt;=0.5,"Caution","High-risk")))))</f>
        <v/>
      </c>
      <c r="AC6" s="27" t="str">
        <f>IF(OR($B6="",'DATA ENTRY'!$K6="",'DATA ENTRY'!$R6=""),"",'DATA ENTRY'!$K6-'DATA ENTRY'!$R6)</f>
        <v/>
      </c>
      <c r="AD6" s="24" t="str">
        <f>IF($B6="","",IF($AC6="","Not entered",IF($AC6&lt;0,"High-risk",IF($AC6=0,"Caution",IF('DATA ENTRY'!$L6="","Adequate",IFERROR(IF('DATA ENTRY'!$L6/'DATA ENTRY'!$R6&gt;=0.25,"Strong","Adequate"),"Adequate"))))))</f>
        <v/>
      </c>
      <c r="AE6" s="25" t="str">
        <f>IF($B6="","",IF(OR('DATA ENTRY'!$W6="",'DATA ENTRY'!$W6=0),"N/A",IF('DATA ENTRY'!$V6="","",IFERROR('DATA ENTRY'!$V6/'DATA ENTRY'!$W6,""))))</f>
        <v/>
      </c>
      <c r="AF6" s="24" t="str">
        <f t="shared" ref="AF6:AF35" si="9">IF($B6="","",IF($AE6="N/A","Not applicable",IF($AE6="","Not entered",IF($AE6&gt;=4,"Strong",IF($AE6&gt;=2.5,"Adequate",IF($AE6&gt;=1.5,"Caution","High-risk"))))))</f>
        <v/>
      </c>
      <c r="AG6" s="25" t="str">
        <f t="shared" ref="AG6:AG35" si="10">IF($B6="","",IFERROR(ROUND((COUNTIF($I6:$AF6,"Strong")*4+COUNTIF($I6:$AF6,"Adequate")*3+COUNTIF($I6:$AF6,"Caution")*2+COUNTIF($I6:$AF6,"High-risk")*1)/(COUNTIF($I6:$AF6,"Strong")+COUNTIF($I6:$AF6,"Adequate")+COUNTIF($I6:$AF6,"Caution")+COUNTIF($I6:$AF6,"High-risk")),2),""))</f>
        <v/>
      </c>
      <c r="AH6" s="24" t="str">
        <f>IF($B6="","",IF(AND(ISNUMBER('DATA ENTRY'!$U6),'DATA ENTRY'!$U6&lt;=0),"Financially stretched",IF($AG6="","Insufficient data",IF(AND(ISNUMBER('DATA ENTRY'!$J6),'DATA ENTRY'!$J6&lt;0),IF($AG6&gt;=2,"Adequate with caution","Financially stretched"),IF($AG6&gt;=3.5,"Financially strong",IF($AG6&gt;=2.75,"Financially adequate",IF($AG6&gt;=2,"Adequate with caution","Financially stretched")))))))</f>
        <v/>
      </c>
      <c r="AI6" s="28" t="str">
        <f>IF($B6="","",IF(AND(ISNUMBER('DATA ENTRY'!$U6),'DATA ENTRY'!$U6&lt;=0),"Negative equity — possible insolvency",IF(AND(ISNUMBER('DATA ENTRY'!$J6),'DATA ENTRY'!$J6&lt;0),"Loss position",IF(AND(ISNUMBER($P6),$P6&lt;1),"Current liabilities exceed current assets",IF(AND(ISNUMBER($T6),$T6&gt;2),"High leverage",IF(AND(ISNUMBER($Y6),$Y6&gt;120),"Slow receivables collection",IF(AND(ISNUMBER($AC6),$AC6&lt;0),"Negative working capital",IF(OR('DATA ENTRY'!$E6="Unaudited",'DATA ENTRY'!$E6="Banker Letter Only",'DATA ENTRY'!$E6="Management Accounts"),"Statement status limits weight on ratios","No major red flag from entered ratios"))))))))</f>
        <v/>
      </c>
    </row>
    <row r="7" spans="1:35">
      <c r="A7" s="13" t="str">
        <f>IF('DATA ENTRY'!$B7&lt;&gt;"",'DATA ENTRY'!$A7,"")</f>
        <v/>
      </c>
      <c r="B7" s="13" t="str">
        <f>IF('DATA ENTRY'!$B7&lt;&gt;"",'DATA ENTRY'!$B7,"")</f>
        <v/>
      </c>
      <c r="C7" s="13" t="str">
        <f>IF('DATA ENTRY'!$B7&lt;&gt;"",'DATA ENTRY'!$C7,"")</f>
        <v/>
      </c>
      <c r="D7" s="13" t="str">
        <f>IF('DATA ENTRY'!$B7&lt;&gt;"",'DATA ENTRY'!$D7,"")</f>
        <v/>
      </c>
      <c r="E7" s="13" t="str">
        <f>IF('DATA ENTRY'!$B7&lt;&gt;"",'DATA ENTRY'!$E7,"")</f>
        <v/>
      </c>
      <c r="F7" s="13" t="str">
        <f>IF($B7="","",IF('DATA ENTRY'!$Y7="Yes","Checked",IF('DATA ENTRY'!$Y7="No","Needs check","Not marked")))</f>
        <v/>
      </c>
      <c r="G7" s="22" t="str">
        <f>IF($B7="","",IF('DATA ENTRY'!$I7&lt;&gt;"",'DATA ENTRY'!$I7,IF(AND('DATA ENTRY'!$G7&lt;&gt;"",'DATA ENTRY'!$H7&lt;&gt;""),'DATA ENTRY'!$G7-'DATA ENTRY'!$H7,"")))</f>
        <v/>
      </c>
      <c r="H7" s="23" t="str">
        <f>IF(OR($B7="",$G7="",'DATA ENTRY'!$G7=""),"",IFERROR($G7/'DATA ENTRY'!$G7,""))</f>
        <v/>
      </c>
      <c r="I7" s="24" t="str">
        <f t="shared" si="0"/>
        <v/>
      </c>
      <c r="J7" s="23" t="str">
        <f>IF(OR($B7="",'DATA ENTRY'!$J7="",'DATA ENTRY'!$G7=""),"",IFERROR('DATA ENTRY'!$J7/'DATA ENTRY'!$G7,""))</f>
        <v/>
      </c>
      <c r="K7" s="24" t="str">
        <f t="shared" si="1"/>
        <v/>
      </c>
      <c r="L7" s="23" t="str">
        <f>IF(OR($B7="",'DATA ENTRY'!$J7="",'DATA ENTRY'!$Q7=""),"",IFERROR('DATA ENTRY'!$J7/'DATA ENTRY'!$Q7,""))</f>
        <v/>
      </c>
      <c r="M7" s="24" t="str">
        <f t="shared" si="2"/>
        <v/>
      </c>
      <c r="N7" s="23" t="str">
        <f>IF(OR($B7="",'DATA ENTRY'!$J7="",'DATA ENTRY'!$U7="",'DATA ENTRY'!$U7&lt;=0),"",IFERROR('DATA ENTRY'!$J7/'DATA ENTRY'!$U7,""))</f>
        <v/>
      </c>
      <c r="O7" s="24" t="str">
        <f>IF($B7="","",IF(OR('DATA ENTRY'!$J7="",'DATA ENTRY'!$U7=""),"Not entered",IF('DATA ENTRY'!$U7&lt;=0,"High-risk",IF($N7&gt;=0.15,"Strong",IF($N7&gt;=0.08,"Adequate",IF($N7&gt;=0,"Caution","High-risk"))))))</f>
        <v/>
      </c>
      <c r="P7" s="25" t="str">
        <f>IF(OR($B7="",'DATA ENTRY'!$K7="",'DATA ENTRY'!$R7=""),"",IFERROR('DATA ENTRY'!$K7/'DATA ENTRY'!$R7,""))</f>
        <v/>
      </c>
      <c r="Q7" s="24" t="str">
        <f t="shared" si="3"/>
        <v/>
      </c>
      <c r="R7" s="25" t="str">
        <f>IF(OR($B7="",'DATA ENTRY'!$K7="",'DATA ENTRY'!$R7=""),"",IFERROR(('DATA ENTRY'!$K7-IF('DATA ENTRY'!$O7="",0,'DATA ENTRY'!$O7))/'DATA ENTRY'!$R7,""))</f>
        <v/>
      </c>
      <c r="S7" s="24" t="str">
        <f t="shared" si="4"/>
        <v/>
      </c>
      <c r="T7" s="25" t="str">
        <f>IF(OR($B7="",'DATA ENTRY'!$T7="",'DATA ENTRY'!$U7="",'DATA ENTRY'!$U7&lt;=0),"",IFERROR('DATA ENTRY'!$T7/'DATA ENTRY'!$U7,""))</f>
        <v/>
      </c>
      <c r="U7" s="24" t="str">
        <f>IF($B7="","",IF(OR('DATA ENTRY'!$T7="",'DATA ENTRY'!$U7=""),"Not entered",IF('DATA ENTRY'!$U7&lt;=0,"High-risk",IF($T7&lt;=1,"Strong",IF($T7&lt;=1.5,"Adequate",IF($T7&lt;=2,"Caution","High-risk"))))))</f>
        <v/>
      </c>
      <c r="V7" s="23" t="str">
        <f>IF(OR($B7="",'DATA ENTRY'!$U7="",'DATA ENTRY'!$Q7=""),"",IFERROR('DATA ENTRY'!$U7/'DATA ENTRY'!$Q7,""))</f>
        <v/>
      </c>
      <c r="W7" s="24" t="str">
        <f t="shared" si="5"/>
        <v/>
      </c>
      <c r="X7" s="25" t="str">
        <f>IF(OR($B7="",'DATA ENTRY'!$G7="",'DATA ENTRY'!$M7=""),"",IF('DATA ENTRY'!$N7&lt;&gt;"",'DATA ENTRY'!$G7/AVERAGE('DATA ENTRY'!$M7,'DATA ENTRY'!$N7),IFERROR('DATA ENTRY'!$G7/'DATA ENTRY'!$M7,"")))</f>
        <v/>
      </c>
      <c r="Y7" s="26" t="str">
        <f t="shared" si="6"/>
        <v/>
      </c>
      <c r="Z7" s="24" t="str">
        <f t="shared" si="7"/>
        <v/>
      </c>
      <c r="AA7" s="25" t="str">
        <f>IF(OR($B7="",'DATA ENTRY'!$G7="",'DATA ENTRY'!$Q7=""),"",IFERROR('DATA ENTRY'!$G7/'DATA ENTRY'!$Q7,""))</f>
        <v/>
      </c>
      <c r="AB7" s="24" t="str">
        <f t="shared" si="8"/>
        <v/>
      </c>
      <c r="AC7" s="27" t="str">
        <f>IF(OR($B7="",'DATA ENTRY'!$K7="",'DATA ENTRY'!$R7=""),"",'DATA ENTRY'!$K7-'DATA ENTRY'!$R7)</f>
        <v/>
      </c>
      <c r="AD7" s="24" t="str">
        <f>IF($B7="","",IF($AC7="","Not entered",IF($AC7&lt;0,"High-risk",IF($AC7=0,"Caution",IF('DATA ENTRY'!$L7="","Adequate",IFERROR(IF('DATA ENTRY'!$L7/'DATA ENTRY'!$R7&gt;=0.25,"Strong","Adequate"),"Adequate"))))))</f>
        <v/>
      </c>
      <c r="AE7" s="25" t="str">
        <f>IF($B7="","",IF(OR('DATA ENTRY'!$W7="",'DATA ENTRY'!$W7=0),"N/A",IF('DATA ENTRY'!$V7="","",IFERROR('DATA ENTRY'!$V7/'DATA ENTRY'!$W7,""))))</f>
        <v/>
      </c>
      <c r="AF7" s="24" t="str">
        <f t="shared" si="9"/>
        <v/>
      </c>
      <c r="AG7" s="25" t="str">
        <f t="shared" si="10"/>
        <v/>
      </c>
      <c r="AH7" s="24" t="str">
        <f>IF($B7="","",IF(AND(ISNUMBER('DATA ENTRY'!$U7),'DATA ENTRY'!$U7&lt;=0),"Financially stretched",IF($AG7="","Insufficient data",IF(AND(ISNUMBER('DATA ENTRY'!$J7),'DATA ENTRY'!$J7&lt;0),IF($AG7&gt;=2,"Adequate with caution","Financially stretched"),IF($AG7&gt;=3.5,"Financially strong",IF($AG7&gt;=2.75,"Financially adequate",IF($AG7&gt;=2,"Adequate with caution","Financially stretched")))))))</f>
        <v/>
      </c>
      <c r="AI7" s="28" t="str">
        <f>IF($B7="","",IF(AND(ISNUMBER('DATA ENTRY'!$U7),'DATA ENTRY'!$U7&lt;=0),"Negative equity — possible insolvency",IF(AND(ISNUMBER('DATA ENTRY'!$J7),'DATA ENTRY'!$J7&lt;0),"Loss position",IF(AND(ISNUMBER($P7),$P7&lt;1),"Current liabilities exceed current assets",IF(AND(ISNUMBER($T7),$T7&gt;2),"High leverage",IF(AND(ISNUMBER($Y7),$Y7&gt;120),"Slow receivables collection",IF(AND(ISNUMBER($AC7),$AC7&lt;0),"Negative working capital",IF(OR('DATA ENTRY'!$E7="Unaudited",'DATA ENTRY'!$E7="Banker Letter Only",'DATA ENTRY'!$E7="Management Accounts"),"Statement status limits weight on ratios","No major red flag from entered ratios"))))))))</f>
        <v/>
      </c>
    </row>
    <row r="8" spans="1:35">
      <c r="A8" s="13" t="str">
        <f>IF('DATA ENTRY'!$B8&lt;&gt;"",'DATA ENTRY'!$A8,"")</f>
        <v/>
      </c>
      <c r="B8" s="13" t="str">
        <f>IF('DATA ENTRY'!$B8&lt;&gt;"",'DATA ENTRY'!$B8,"")</f>
        <v/>
      </c>
      <c r="C8" s="13" t="str">
        <f>IF('DATA ENTRY'!$B8&lt;&gt;"",'DATA ENTRY'!$C8,"")</f>
        <v/>
      </c>
      <c r="D8" s="13" t="str">
        <f>IF('DATA ENTRY'!$B8&lt;&gt;"",'DATA ENTRY'!$D8,"")</f>
        <v/>
      </c>
      <c r="E8" s="13" t="str">
        <f>IF('DATA ENTRY'!$B8&lt;&gt;"",'DATA ENTRY'!$E8,"")</f>
        <v/>
      </c>
      <c r="F8" s="13" t="str">
        <f>IF($B8="","",IF('DATA ENTRY'!$Y8="Yes","Checked",IF('DATA ENTRY'!$Y8="No","Needs check","Not marked")))</f>
        <v/>
      </c>
      <c r="G8" s="22" t="str">
        <f>IF($B8="","",IF('DATA ENTRY'!$I8&lt;&gt;"",'DATA ENTRY'!$I8,IF(AND('DATA ENTRY'!$G8&lt;&gt;"",'DATA ENTRY'!$H8&lt;&gt;""),'DATA ENTRY'!$G8-'DATA ENTRY'!$H8,"")))</f>
        <v/>
      </c>
      <c r="H8" s="23" t="str">
        <f>IF(OR($B8="",$G8="",'DATA ENTRY'!$G8=""),"",IFERROR($G8/'DATA ENTRY'!$G8,""))</f>
        <v/>
      </c>
      <c r="I8" s="24" t="str">
        <f t="shared" si="0"/>
        <v/>
      </c>
      <c r="J8" s="23" t="str">
        <f>IF(OR($B8="",'DATA ENTRY'!$J8="",'DATA ENTRY'!$G8=""),"",IFERROR('DATA ENTRY'!$J8/'DATA ENTRY'!$G8,""))</f>
        <v/>
      </c>
      <c r="K8" s="24" t="str">
        <f t="shared" si="1"/>
        <v/>
      </c>
      <c r="L8" s="23" t="str">
        <f>IF(OR($B8="",'DATA ENTRY'!$J8="",'DATA ENTRY'!$Q8=""),"",IFERROR('DATA ENTRY'!$J8/'DATA ENTRY'!$Q8,""))</f>
        <v/>
      </c>
      <c r="M8" s="24" t="str">
        <f t="shared" si="2"/>
        <v/>
      </c>
      <c r="N8" s="23" t="str">
        <f>IF(OR($B8="",'DATA ENTRY'!$J8="",'DATA ENTRY'!$U8="",'DATA ENTRY'!$U8&lt;=0),"",IFERROR('DATA ENTRY'!$J8/'DATA ENTRY'!$U8,""))</f>
        <v/>
      </c>
      <c r="O8" s="24" t="str">
        <f>IF($B8="","",IF(OR('DATA ENTRY'!$J8="",'DATA ENTRY'!$U8=""),"Not entered",IF('DATA ENTRY'!$U8&lt;=0,"High-risk",IF($N8&gt;=0.15,"Strong",IF($N8&gt;=0.08,"Adequate",IF($N8&gt;=0,"Caution","High-risk"))))))</f>
        <v/>
      </c>
      <c r="P8" s="25" t="str">
        <f>IF(OR($B8="",'DATA ENTRY'!$K8="",'DATA ENTRY'!$R8=""),"",IFERROR('DATA ENTRY'!$K8/'DATA ENTRY'!$R8,""))</f>
        <v/>
      </c>
      <c r="Q8" s="24" t="str">
        <f t="shared" si="3"/>
        <v/>
      </c>
      <c r="R8" s="25" t="str">
        <f>IF(OR($B8="",'DATA ENTRY'!$K8="",'DATA ENTRY'!$R8=""),"",IFERROR(('DATA ENTRY'!$K8-IF('DATA ENTRY'!$O8="",0,'DATA ENTRY'!$O8))/'DATA ENTRY'!$R8,""))</f>
        <v/>
      </c>
      <c r="S8" s="24" t="str">
        <f t="shared" si="4"/>
        <v/>
      </c>
      <c r="T8" s="25" t="str">
        <f>IF(OR($B8="",'DATA ENTRY'!$T8="",'DATA ENTRY'!$U8="",'DATA ENTRY'!$U8&lt;=0),"",IFERROR('DATA ENTRY'!$T8/'DATA ENTRY'!$U8,""))</f>
        <v/>
      </c>
      <c r="U8" s="24" t="str">
        <f>IF($B8="","",IF(OR('DATA ENTRY'!$T8="",'DATA ENTRY'!$U8=""),"Not entered",IF('DATA ENTRY'!$U8&lt;=0,"High-risk",IF($T8&lt;=1,"Strong",IF($T8&lt;=1.5,"Adequate",IF($T8&lt;=2,"Caution","High-risk"))))))</f>
        <v/>
      </c>
      <c r="V8" s="23" t="str">
        <f>IF(OR($B8="",'DATA ENTRY'!$U8="",'DATA ENTRY'!$Q8=""),"",IFERROR('DATA ENTRY'!$U8/'DATA ENTRY'!$Q8,""))</f>
        <v/>
      </c>
      <c r="W8" s="24" t="str">
        <f t="shared" si="5"/>
        <v/>
      </c>
      <c r="X8" s="25" t="str">
        <f>IF(OR($B8="",'DATA ENTRY'!$G8="",'DATA ENTRY'!$M8=""),"",IF('DATA ENTRY'!$N8&lt;&gt;"",'DATA ENTRY'!$G8/AVERAGE('DATA ENTRY'!$M8,'DATA ENTRY'!$N8),IFERROR('DATA ENTRY'!$G8/'DATA ENTRY'!$M8,"")))</f>
        <v/>
      </c>
      <c r="Y8" s="26" t="str">
        <f t="shared" si="6"/>
        <v/>
      </c>
      <c r="Z8" s="24" t="str">
        <f t="shared" si="7"/>
        <v/>
      </c>
      <c r="AA8" s="25" t="str">
        <f>IF(OR($B8="",'DATA ENTRY'!$G8="",'DATA ENTRY'!$Q8=""),"",IFERROR('DATA ENTRY'!$G8/'DATA ENTRY'!$Q8,""))</f>
        <v/>
      </c>
      <c r="AB8" s="24" t="str">
        <f t="shared" si="8"/>
        <v/>
      </c>
      <c r="AC8" s="27" t="str">
        <f>IF(OR($B8="",'DATA ENTRY'!$K8="",'DATA ENTRY'!$R8=""),"",'DATA ENTRY'!$K8-'DATA ENTRY'!$R8)</f>
        <v/>
      </c>
      <c r="AD8" s="24" t="str">
        <f>IF($B8="","",IF($AC8="","Not entered",IF($AC8&lt;0,"High-risk",IF($AC8=0,"Caution",IF('DATA ENTRY'!$L8="","Adequate",IFERROR(IF('DATA ENTRY'!$L8/'DATA ENTRY'!$R8&gt;=0.25,"Strong","Adequate"),"Adequate"))))))</f>
        <v/>
      </c>
      <c r="AE8" s="25" t="str">
        <f>IF($B8="","",IF(OR('DATA ENTRY'!$W8="",'DATA ENTRY'!$W8=0),"N/A",IF('DATA ENTRY'!$V8="","",IFERROR('DATA ENTRY'!$V8/'DATA ENTRY'!$W8,""))))</f>
        <v/>
      </c>
      <c r="AF8" s="24" t="str">
        <f t="shared" si="9"/>
        <v/>
      </c>
      <c r="AG8" s="25" t="str">
        <f t="shared" si="10"/>
        <v/>
      </c>
      <c r="AH8" s="24" t="str">
        <f>IF($B8="","",IF(AND(ISNUMBER('DATA ENTRY'!$U8),'DATA ENTRY'!$U8&lt;=0),"Financially stretched",IF($AG8="","Insufficient data",IF(AND(ISNUMBER('DATA ENTRY'!$J8),'DATA ENTRY'!$J8&lt;0),IF($AG8&gt;=2,"Adequate with caution","Financially stretched"),IF($AG8&gt;=3.5,"Financially strong",IF($AG8&gt;=2.75,"Financially adequate",IF($AG8&gt;=2,"Adequate with caution","Financially stretched")))))))</f>
        <v/>
      </c>
      <c r="AI8" s="28" t="str">
        <f>IF($B8="","",IF(AND(ISNUMBER('DATA ENTRY'!$U8),'DATA ENTRY'!$U8&lt;=0),"Negative equity — possible insolvency",IF(AND(ISNUMBER('DATA ENTRY'!$J8),'DATA ENTRY'!$J8&lt;0),"Loss position",IF(AND(ISNUMBER($P8),$P8&lt;1),"Current liabilities exceed current assets",IF(AND(ISNUMBER($T8),$T8&gt;2),"High leverage",IF(AND(ISNUMBER($Y8),$Y8&gt;120),"Slow receivables collection",IF(AND(ISNUMBER($AC8),$AC8&lt;0),"Negative working capital",IF(OR('DATA ENTRY'!$E8="Unaudited",'DATA ENTRY'!$E8="Banker Letter Only",'DATA ENTRY'!$E8="Management Accounts"),"Statement status limits weight on ratios","No major red flag from entered ratios"))))))))</f>
        <v/>
      </c>
    </row>
    <row r="9" spans="1:35">
      <c r="A9" s="13" t="str">
        <f>IF('DATA ENTRY'!$B9&lt;&gt;"",'DATA ENTRY'!$A9,"")</f>
        <v/>
      </c>
      <c r="B9" s="13" t="str">
        <f>IF('DATA ENTRY'!$B9&lt;&gt;"",'DATA ENTRY'!$B9,"")</f>
        <v/>
      </c>
      <c r="C9" s="13" t="str">
        <f>IF('DATA ENTRY'!$B9&lt;&gt;"",'DATA ENTRY'!$C9,"")</f>
        <v/>
      </c>
      <c r="D9" s="13" t="str">
        <f>IF('DATA ENTRY'!$B9&lt;&gt;"",'DATA ENTRY'!$D9,"")</f>
        <v/>
      </c>
      <c r="E9" s="13" t="str">
        <f>IF('DATA ENTRY'!$B9&lt;&gt;"",'DATA ENTRY'!$E9,"")</f>
        <v/>
      </c>
      <c r="F9" s="13" t="str">
        <f>IF($B9="","",IF('DATA ENTRY'!$Y9="Yes","Checked",IF('DATA ENTRY'!$Y9="No","Needs check","Not marked")))</f>
        <v/>
      </c>
      <c r="G9" s="22" t="str">
        <f>IF($B9="","",IF('DATA ENTRY'!$I9&lt;&gt;"",'DATA ENTRY'!$I9,IF(AND('DATA ENTRY'!$G9&lt;&gt;"",'DATA ENTRY'!$H9&lt;&gt;""),'DATA ENTRY'!$G9-'DATA ENTRY'!$H9,"")))</f>
        <v/>
      </c>
      <c r="H9" s="23" t="str">
        <f>IF(OR($B9="",$G9="",'DATA ENTRY'!$G9=""),"",IFERROR($G9/'DATA ENTRY'!$G9,""))</f>
        <v/>
      </c>
      <c r="I9" s="24" t="str">
        <f t="shared" si="0"/>
        <v/>
      </c>
      <c r="J9" s="23" t="str">
        <f>IF(OR($B9="",'DATA ENTRY'!$J9="",'DATA ENTRY'!$G9=""),"",IFERROR('DATA ENTRY'!$J9/'DATA ENTRY'!$G9,""))</f>
        <v/>
      </c>
      <c r="K9" s="24" t="str">
        <f t="shared" si="1"/>
        <v/>
      </c>
      <c r="L9" s="23" t="str">
        <f>IF(OR($B9="",'DATA ENTRY'!$J9="",'DATA ENTRY'!$Q9=""),"",IFERROR('DATA ENTRY'!$J9/'DATA ENTRY'!$Q9,""))</f>
        <v/>
      </c>
      <c r="M9" s="24" t="str">
        <f t="shared" si="2"/>
        <v/>
      </c>
      <c r="N9" s="23" t="str">
        <f>IF(OR($B9="",'DATA ENTRY'!$J9="",'DATA ENTRY'!$U9="",'DATA ENTRY'!$U9&lt;=0),"",IFERROR('DATA ENTRY'!$J9/'DATA ENTRY'!$U9,""))</f>
        <v/>
      </c>
      <c r="O9" s="24" t="str">
        <f>IF($B9="","",IF(OR('DATA ENTRY'!$J9="",'DATA ENTRY'!$U9=""),"Not entered",IF('DATA ENTRY'!$U9&lt;=0,"High-risk",IF($N9&gt;=0.15,"Strong",IF($N9&gt;=0.08,"Adequate",IF($N9&gt;=0,"Caution","High-risk"))))))</f>
        <v/>
      </c>
      <c r="P9" s="25" t="str">
        <f>IF(OR($B9="",'DATA ENTRY'!$K9="",'DATA ENTRY'!$R9=""),"",IFERROR('DATA ENTRY'!$K9/'DATA ENTRY'!$R9,""))</f>
        <v/>
      </c>
      <c r="Q9" s="24" t="str">
        <f t="shared" si="3"/>
        <v/>
      </c>
      <c r="R9" s="25" t="str">
        <f>IF(OR($B9="",'DATA ENTRY'!$K9="",'DATA ENTRY'!$R9=""),"",IFERROR(('DATA ENTRY'!$K9-IF('DATA ENTRY'!$O9="",0,'DATA ENTRY'!$O9))/'DATA ENTRY'!$R9,""))</f>
        <v/>
      </c>
      <c r="S9" s="24" t="str">
        <f t="shared" si="4"/>
        <v/>
      </c>
      <c r="T9" s="25" t="str">
        <f>IF(OR($B9="",'DATA ENTRY'!$T9="",'DATA ENTRY'!$U9="",'DATA ENTRY'!$U9&lt;=0),"",IFERROR('DATA ENTRY'!$T9/'DATA ENTRY'!$U9,""))</f>
        <v/>
      </c>
      <c r="U9" s="24" t="str">
        <f>IF($B9="","",IF(OR('DATA ENTRY'!$T9="",'DATA ENTRY'!$U9=""),"Not entered",IF('DATA ENTRY'!$U9&lt;=0,"High-risk",IF($T9&lt;=1,"Strong",IF($T9&lt;=1.5,"Adequate",IF($T9&lt;=2,"Caution","High-risk"))))))</f>
        <v/>
      </c>
      <c r="V9" s="23" t="str">
        <f>IF(OR($B9="",'DATA ENTRY'!$U9="",'DATA ENTRY'!$Q9=""),"",IFERROR('DATA ENTRY'!$U9/'DATA ENTRY'!$Q9,""))</f>
        <v/>
      </c>
      <c r="W9" s="24" t="str">
        <f t="shared" si="5"/>
        <v/>
      </c>
      <c r="X9" s="25" t="str">
        <f>IF(OR($B9="",'DATA ENTRY'!$G9="",'DATA ENTRY'!$M9=""),"",IF('DATA ENTRY'!$N9&lt;&gt;"",'DATA ENTRY'!$G9/AVERAGE('DATA ENTRY'!$M9,'DATA ENTRY'!$N9),IFERROR('DATA ENTRY'!$G9/'DATA ENTRY'!$M9,"")))</f>
        <v/>
      </c>
      <c r="Y9" s="26" t="str">
        <f t="shared" si="6"/>
        <v/>
      </c>
      <c r="Z9" s="24" t="str">
        <f t="shared" si="7"/>
        <v/>
      </c>
      <c r="AA9" s="25" t="str">
        <f>IF(OR($B9="",'DATA ENTRY'!$G9="",'DATA ENTRY'!$Q9=""),"",IFERROR('DATA ENTRY'!$G9/'DATA ENTRY'!$Q9,""))</f>
        <v/>
      </c>
      <c r="AB9" s="24" t="str">
        <f t="shared" si="8"/>
        <v/>
      </c>
      <c r="AC9" s="27" t="str">
        <f>IF(OR($B9="",'DATA ENTRY'!$K9="",'DATA ENTRY'!$R9=""),"",'DATA ENTRY'!$K9-'DATA ENTRY'!$R9)</f>
        <v/>
      </c>
      <c r="AD9" s="24" t="str">
        <f>IF($B9="","",IF($AC9="","Not entered",IF($AC9&lt;0,"High-risk",IF($AC9=0,"Caution",IF('DATA ENTRY'!$L9="","Adequate",IFERROR(IF('DATA ENTRY'!$L9/'DATA ENTRY'!$R9&gt;=0.25,"Strong","Adequate"),"Adequate"))))))</f>
        <v/>
      </c>
      <c r="AE9" s="25" t="str">
        <f>IF($B9="","",IF(OR('DATA ENTRY'!$W9="",'DATA ENTRY'!$W9=0),"N/A",IF('DATA ENTRY'!$V9="","",IFERROR('DATA ENTRY'!$V9/'DATA ENTRY'!$W9,""))))</f>
        <v/>
      </c>
      <c r="AF9" s="24" t="str">
        <f t="shared" si="9"/>
        <v/>
      </c>
      <c r="AG9" s="25" t="str">
        <f t="shared" si="10"/>
        <v/>
      </c>
      <c r="AH9" s="24" t="str">
        <f>IF($B9="","",IF(AND(ISNUMBER('DATA ENTRY'!$U9),'DATA ENTRY'!$U9&lt;=0),"Financially stretched",IF($AG9="","Insufficient data",IF(AND(ISNUMBER('DATA ENTRY'!$J9),'DATA ENTRY'!$J9&lt;0),IF($AG9&gt;=2,"Adequate with caution","Financially stretched"),IF($AG9&gt;=3.5,"Financially strong",IF($AG9&gt;=2.75,"Financially adequate",IF($AG9&gt;=2,"Adequate with caution","Financially stretched")))))))</f>
        <v/>
      </c>
      <c r="AI9" s="28" t="str">
        <f>IF($B9="","",IF(AND(ISNUMBER('DATA ENTRY'!$U9),'DATA ENTRY'!$U9&lt;=0),"Negative equity — possible insolvency",IF(AND(ISNUMBER('DATA ENTRY'!$J9),'DATA ENTRY'!$J9&lt;0),"Loss position",IF(AND(ISNUMBER($P9),$P9&lt;1),"Current liabilities exceed current assets",IF(AND(ISNUMBER($T9),$T9&gt;2),"High leverage",IF(AND(ISNUMBER($Y9),$Y9&gt;120),"Slow receivables collection",IF(AND(ISNUMBER($AC9),$AC9&lt;0),"Negative working capital",IF(OR('DATA ENTRY'!$E9="Unaudited",'DATA ENTRY'!$E9="Banker Letter Only",'DATA ENTRY'!$E9="Management Accounts"),"Statement status limits weight on ratios","No major red flag from entered ratios"))))))))</f>
        <v/>
      </c>
    </row>
    <row r="10" spans="1:35">
      <c r="A10" s="13" t="str">
        <f>IF('DATA ENTRY'!$B10&lt;&gt;"",'DATA ENTRY'!$A10,"")</f>
        <v/>
      </c>
      <c r="B10" s="13" t="str">
        <f>IF('DATA ENTRY'!$B10&lt;&gt;"",'DATA ENTRY'!$B10,"")</f>
        <v/>
      </c>
      <c r="C10" s="13" t="str">
        <f>IF('DATA ENTRY'!$B10&lt;&gt;"",'DATA ENTRY'!$C10,"")</f>
        <v/>
      </c>
      <c r="D10" s="13" t="str">
        <f>IF('DATA ENTRY'!$B10&lt;&gt;"",'DATA ENTRY'!$D10,"")</f>
        <v/>
      </c>
      <c r="E10" s="13" t="str">
        <f>IF('DATA ENTRY'!$B10&lt;&gt;"",'DATA ENTRY'!$E10,"")</f>
        <v/>
      </c>
      <c r="F10" s="13" t="str">
        <f>IF($B10="","",IF('DATA ENTRY'!$Y10="Yes","Checked",IF('DATA ENTRY'!$Y10="No","Needs check","Not marked")))</f>
        <v/>
      </c>
      <c r="G10" s="22" t="str">
        <f>IF($B10="","",IF('DATA ENTRY'!$I10&lt;&gt;"",'DATA ENTRY'!$I10,IF(AND('DATA ENTRY'!$G10&lt;&gt;"",'DATA ENTRY'!$H10&lt;&gt;""),'DATA ENTRY'!$G10-'DATA ENTRY'!$H10,"")))</f>
        <v/>
      </c>
      <c r="H10" s="23" t="str">
        <f>IF(OR($B10="",$G10="",'DATA ENTRY'!$G10=""),"",IFERROR($G10/'DATA ENTRY'!$G10,""))</f>
        <v/>
      </c>
      <c r="I10" s="24" t="str">
        <f t="shared" si="0"/>
        <v/>
      </c>
      <c r="J10" s="23" t="str">
        <f>IF(OR($B10="",'DATA ENTRY'!$J10="",'DATA ENTRY'!$G10=""),"",IFERROR('DATA ENTRY'!$J10/'DATA ENTRY'!$G10,""))</f>
        <v/>
      </c>
      <c r="K10" s="24" t="str">
        <f t="shared" si="1"/>
        <v/>
      </c>
      <c r="L10" s="23" t="str">
        <f>IF(OR($B10="",'DATA ENTRY'!$J10="",'DATA ENTRY'!$Q10=""),"",IFERROR('DATA ENTRY'!$J10/'DATA ENTRY'!$Q10,""))</f>
        <v/>
      </c>
      <c r="M10" s="24" t="str">
        <f t="shared" si="2"/>
        <v/>
      </c>
      <c r="N10" s="23" t="str">
        <f>IF(OR($B10="",'DATA ENTRY'!$J10="",'DATA ENTRY'!$U10="",'DATA ENTRY'!$U10&lt;=0),"",IFERROR('DATA ENTRY'!$J10/'DATA ENTRY'!$U10,""))</f>
        <v/>
      </c>
      <c r="O10" s="24" t="str">
        <f>IF($B10="","",IF(OR('DATA ENTRY'!$J10="",'DATA ENTRY'!$U10=""),"Not entered",IF('DATA ENTRY'!$U10&lt;=0,"High-risk",IF($N10&gt;=0.15,"Strong",IF($N10&gt;=0.08,"Adequate",IF($N10&gt;=0,"Caution","High-risk"))))))</f>
        <v/>
      </c>
      <c r="P10" s="25" t="str">
        <f>IF(OR($B10="",'DATA ENTRY'!$K10="",'DATA ENTRY'!$R10=""),"",IFERROR('DATA ENTRY'!$K10/'DATA ENTRY'!$R10,""))</f>
        <v/>
      </c>
      <c r="Q10" s="24" t="str">
        <f t="shared" si="3"/>
        <v/>
      </c>
      <c r="R10" s="25" t="str">
        <f>IF(OR($B10="",'DATA ENTRY'!$K10="",'DATA ENTRY'!$R10=""),"",IFERROR(('DATA ENTRY'!$K10-IF('DATA ENTRY'!$O10="",0,'DATA ENTRY'!$O10))/'DATA ENTRY'!$R10,""))</f>
        <v/>
      </c>
      <c r="S10" s="24" t="str">
        <f t="shared" si="4"/>
        <v/>
      </c>
      <c r="T10" s="25" t="str">
        <f>IF(OR($B10="",'DATA ENTRY'!$T10="",'DATA ENTRY'!$U10="",'DATA ENTRY'!$U10&lt;=0),"",IFERROR('DATA ENTRY'!$T10/'DATA ENTRY'!$U10,""))</f>
        <v/>
      </c>
      <c r="U10" s="24" t="str">
        <f>IF($B10="","",IF(OR('DATA ENTRY'!$T10="",'DATA ENTRY'!$U10=""),"Not entered",IF('DATA ENTRY'!$U10&lt;=0,"High-risk",IF($T10&lt;=1,"Strong",IF($T10&lt;=1.5,"Adequate",IF($T10&lt;=2,"Caution","High-risk"))))))</f>
        <v/>
      </c>
      <c r="V10" s="23" t="str">
        <f>IF(OR($B10="",'DATA ENTRY'!$U10="",'DATA ENTRY'!$Q10=""),"",IFERROR('DATA ENTRY'!$U10/'DATA ENTRY'!$Q10,""))</f>
        <v/>
      </c>
      <c r="W10" s="24" t="str">
        <f t="shared" si="5"/>
        <v/>
      </c>
      <c r="X10" s="25" t="str">
        <f>IF(OR($B10="",'DATA ENTRY'!$G10="",'DATA ENTRY'!$M10=""),"",IF('DATA ENTRY'!$N10&lt;&gt;"",'DATA ENTRY'!$G10/AVERAGE('DATA ENTRY'!$M10,'DATA ENTRY'!$N10),IFERROR('DATA ENTRY'!$G10/'DATA ENTRY'!$M10,"")))</f>
        <v/>
      </c>
      <c r="Y10" s="26" t="str">
        <f t="shared" si="6"/>
        <v/>
      </c>
      <c r="Z10" s="24" t="str">
        <f t="shared" si="7"/>
        <v/>
      </c>
      <c r="AA10" s="25" t="str">
        <f>IF(OR($B10="",'DATA ENTRY'!$G10="",'DATA ENTRY'!$Q10=""),"",IFERROR('DATA ENTRY'!$G10/'DATA ENTRY'!$Q10,""))</f>
        <v/>
      </c>
      <c r="AB10" s="24" t="str">
        <f t="shared" si="8"/>
        <v/>
      </c>
      <c r="AC10" s="27" t="str">
        <f>IF(OR($B10="",'DATA ENTRY'!$K10="",'DATA ENTRY'!$R10=""),"",'DATA ENTRY'!$K10-'DATA ENTRY'!$R10)</f>
        <v/>
      </c>
      <c r="AD10" s="24" t="str">
        <f>IF($B10="","",IF($AC10="","Not entered",IF($AC10&lt;0,"High-risk",IF($AC10=0,"Caution",IF('DATA ENTRY'!$L10="","Adequate",IFERROR(IF('DATA ENTRY'!$L10/'DATA ENTRY'!$R10&gt;=0.25,"Strong","Adequate"),"Adequate"))))))</f>
        <v/>
      </c>
      <c r="AE10" s="25" t="str">
        <f>IF($B10="","",IF(OR('DATA ENTRY'!$W10="",'DATA ENTRY'!$W10=0),"N/A",IF('DATA ENTRY'!$V10="","",IFERROR('DATA ENTRY'!$V10/'DATA ENTRY'!$W10,""))))</f>
        <v/>
      </c>
      <c r="AF10" s="24" t="str">
        <f t="shared" si="9"/>
        <v/>
      </c>
      <c r="AG10" s="25" t="str">
        <f t="shared" si="10"/>
        <v/>
      </c>
      <c r="AH10" s="24" t="str">
        <f>IF($B10="","",IF(AND(ISNUMBER('DATA ENTRY'!$U10),'DATA ENTRY'!$U10&lt;=0),"Financially stretched",IF($AG10="","Insufficient data",IF(AND(ISNUMBER('DATA ENTRY'!$J10),'DATA ENTRY'!$J10&lt;0),IF($AG10&gt;=2,"Adequate with caution","Financially stretched"),IF($AG10&gt;=3.5,"Financially strong",IF($AG10&gt;=2.75,"Financially adequate",IF($AG10&gt;=2,"Adequate with caution","Financially stretched")))))))</f>
        <v/>
      </c>
      <c r="AI10" s="28" t="str">
        <f>IF($B10="","",IF(AND(ISNUMBER('DATA ENTRY'!$U10),'DATA ENTRY'!$U10&lt;=0),"Negative equity — possible insolvency",IF(AND(ISNUMBER('DATA ENTRY'!$J10),'DATA ENTRY'!$J10&lt;0),"Loss position",IF(AND(ISNUMBER($P10),$P10&lt;1),"Current liabilities exceed current assets",IF(AND(ISNUMBER($T10),$T10&gt;2),"High leverage",IF(AND(ISNUMBER($Y10),$Y10&gt;120),"Slow receivables collection",IF(AND(ISNUMBER($AC10),$AC10&lt;0),"Negative working capital",IF(OR('DATA ENTRY'!$E10="Unaudited",'DATA ENTRY'!$E10="Banker Letter Only",'DATA ENTRY'!$E10="Management Accounts"),"Statement status limits weight on ratios","No major red flag from entered ratios"))))))))</f>
        <v/>
      </c>
    </row>
    <row r="11" spans="1:35">
      <c r="A11" s="13" t="str">
        <f>IF('DATA ENTRY'!$B11&lt;&gt;"",'DATA ENTRY'!$A11,"")</f>
        <v/>
      </c>
      <c r="B11" s="13" t="str">
        <f>IF('DATA ENTRY'!$B11&lt;&gt;"",'DATA ENTRY'!$B11,"")</f>
        <v/>
      </c>
      <c r="C11" s="13" t="str">
        <f>IF('DATA ENTRY'!$B11&lt;&gt;"",'DATA ENTRY'!$C11,"")</f>
        <v/>
      </c>
      <c r="D11" s="13" t="str">
        <f>IF('DATA ENTRY'!$B11&lt;&gt;"",'DATA ENTRY'!$D11,"")</f>
        <v/>
      </c>
      <c r="E11" s="13" t="str">
        <f>IF('DATA ENTRY'!$B11&lt;&gt;"",'DATA ENTRY'!$E11,"")</f>
        <v/>
      </c>
      <c r="F11" s="13" t="str">
        <f>IF($B11="","",IF('DATA ENTRY'!$Y11="Yes","Checked",IF('DATA ENTRY'!$Y11="No","Needs check","Not marked")))</f>
        <v/>
      </c>
      <c r="G11" s="22" t="str">
        <f>IF($B11="","",IF('DATA ENTRY'!$I11&lt;&gt;"",'DATA ENTRY'!$I11,IF(AND('DATA ENTRY'!$G11&lt;&gt;"",'DATA ENTRY'!$H11&lt;&gt;""),'DATA ENTRY'!$G11-'DATA ENTRY'!$H11,"")))</f>
        <v/>
      </c>
      <c r="H11" s="23" t="str">
        <f>IF(OR($B11="",$G11="",'DATA ENTRY'!$G11=""),"",IFERROR($G11/'DATA ENTRY'!$G11,""))</f>
        <v/>
      </c>
      <c r="I11" s="24" t="str">
        <f t="shared" si="0"/>
        <v/>
      </c>
      <c r="J11" s="23" t="str">
        <f>IF(OR($B11="",'DATA ENTRY'!$J11="",'DATA ENTRY'!$G11=""),"",IFERROR('DATA ENTRY'!$J11/'DATA ENTRY'!$G11,""))</f>
        <v/>
      </c>
      <c r="K11" s="24" t="str">
        <f t="shared" si="1"/>
        <v/>
      </c>
      <c r="L11" s="23" t="str">
        <f>IF(OR($B11="",'DATA ENTRY'!$J11="",'DATA ENTRY'!$Q11=""),"",IFERROR('DATA ENTRY'!$J11/'DATA ENTRY'!$Q11,""))</f>
        <v/>
      </c>
      <c r="M11" s="24" t="str">
        <f t="shared" si="2"/>
        <v/>
      </c>
      <c r="N11" s="23" t="str">
        <f>IF(OR($B11="",'DATA ENTRY'!$J11="",'DATA ENTRY'!$U11="",'DATA ENTRY'!$U11&lt;=0),"",IFERROR('DATA ENTRY'!$J11/'DATA ENTRY'!$U11,""))</f>
        <v/>
      </c>
      <c r="O11" s="24" t="str">
        <f>IF($B11="","",IF(OR('DATA ENTRY'!$J11="",'DATA ENTRY'!$U11=""),"Not entered",IF('DATA ENTRY'!$U11&lt;=0,"High-risk",IF($N11&gt;=0.15,"Strong",IF($N11&gt;=0.08,"Adequate",IF($N11&gt;=0,"Caution","High-risk"))))))</f>
        <v/>
      </c>
      <c r="P11" s="25" t="str">
        <f>IF(OR($B11="",'DATA ENTRY'!$K11="",'DATA ENTRY'!$R11=""),"",IFERROR('DATA ENTRY'!$K11/'DATA ENTRY'!$R11,""))</f>
        <v/>
      </c>
      <c r="Q11" s="24" t="str">
        <f t="shared" si="3"/>
        <v/>
      </c>
      <c r="R11" s="25" t="str">
        <f>IF(OR($B11="",'DATA ENTRY'!$K11="",'DATA ENTRY'!$R11=""),"",IFERROR(('DATA ENTRY'!$K11-IF('DATA ENTRY'!$O11="",0,'DATA ENTRY'!$O11))/'DATA ENTRY'!$R11,""))</f>
        <v/>
      </c>
      <c r="S11" s="24" t="str">
        <f t="shared" si="4"/>
        <v/>
      </c>
      <c r="T11" s="25" t="str">
        <f>IF(OR($B11="",'DATA ENTRY'!$T11="",'DATA ENTRY'!$U11="",'DATA ENTRY'!$U11&lt;=0),"",IFERROR('DATA ENTRY'!$T11/'DATA ENTRY'!$U11,""))</f>
        <v/>
      </c>
      <c r="U11" s="24" t="str">
        <f>IF($B11="","",IF(OR('DATA ENTRY'!$T11="",'DATA ENTRY'!$U11=""),"Not entered",IF('DATA ENTRY'!$U11&lt;=0,"High-risk",IF($T11&lt;=1,"Strong",IF($T11&lt;=1.5,"Adequate",IF($T11&lt;=2,"Caution","High-risk"))))))</f>
        <v/>
      </c>
      <c r="V11" s="23" t="str">
        <f>IF(OR($B11="",'DATA ENTRY'!$U11="",'DATA ENTRY'!$Q11=""),"",IFERROR('DATA ENTRY'!$U11/'DATA ENTRY'!$Q11,""))</f>
        <v/>
      </c>
      <c r="W11" s="24" t="str">
        <f t="shared" si="5"/>
        <v/>
      </c>
      <c r="X11" s="25" t="str">
        <f>IF(OR($B11="",'DATA ENTRY'!$G11="",'DATA ENTRY'!$M11=""),"",IF('DATA ENTRY'!$N11&lt;&gt;"",'DATA ENTRY'!$G11/AVERAGE('DATA ENTRY'!$M11,'DATA ENTRY'!$N11),IFERROR('DATA ENTRY'!$G11/'DATA ENTRY'!$M11,"")))</f>
        <v/>
      </c>
      <c r="Y11" s="26" t="str">
        <f t="shared" si="6"/>
        <v/>
      </c>
      <c r="Z11" s="24" t="str">
        <f t="shared" si="7"/>
        <v/>
      </c>
      <c r="AA11" s="25" t="str">
        <f>IF(OR($B11="",'DATA ENTRY'!$G11="",'DATA ENTRY'!$Q11=""),"",IFERROR('DATA ENTRY'!$G11/'DATA ENTRY'!$Q11,""))</f>
        <v/>
      </c>
      <c r="AB11" s="24" t="str">
        <f t="shared" si="8"/>
        <v/>
      </c>
      <c r="AC11" s="27" t="str">
        <f>IF(OR($B11="",'DATA ENTRY'!$K11="",'DATA ENTRY'!$R11=""),"",'DATA ENTRY'!$K11-'DATA ENTRY'!$R11)</f>
        <v/>
      </c>
      <c r="AD11" s="24" t="str">
        <f>IF($B11="","",IF($AC11="","Not entered",IF($AC11&lt;0,"High-risk",IF($AC11=0,"Caution",IF('DATA ENTRY'!$L11="","Adequate",IFERROR(IF('DATA ENTRY'!$L11/'DATA ENTRY'!$R11&gt;=0.25,"Strong","Adequate"),"Adequate"))))))</f>
        <v/>
      </c>
      <c r="AE11" s="25" t="str">
        <f>IF($B11="","",IF(OR('DATA ENTRY'!$W11="",'DATA ENTRY'!$W11=0),"N/A",IF('DATA ENTRY'!$V11="","",IFERROR('DATA ENTRY'!$V11/'DATA ENTRY'!$W11,""))))</f>
        <v/>
      </c>
      <c r="AF11" s="24" t="str">
        <f t="shared" si="9"/>
        <v/>
      </c>
      <c r="AG11" s="25" t="str">
        <f t="shared" si="10"/>
        <v/>
      </c>
      <c r="AH11" s="24" t="str">
        <f>IF($B11="","",IF(AND(ISNUMBER('DATA ENTRY'!$U11),'DATA ENTRY'!$U11&lt;=0),"Financially stretched",IF($AG11="","Insufficient data",IF(AND(ISNUMBER('DATA ENTRY'!$J11),'DATA ENTRY'!$J11&lt;0),IF($AG11&gt;=2,"Adequate with caution","Financially stretched"),IF($AG11&gt;=3.5,"Financially strong",IF($AG11&gt;=2.75,"Financially adequate",IF($AG11&gt;=2,"Adequate with caution","Financially stretched")))))))</f>
        <v/>
      </c>
      <c r="AI11" s="28" t="str">
        <f>IF($B11="","",IF(AND(ISNUMBER('DATA ENTRY'!$U11),'DATA ENTRY'!$U11&lt;=0),"Negative equity — possible insolvency",IF(AND(ISNUMBER('DATA ENTRY'!$J11),'DATA ENTRY'!$J11&lt;0),"Loss position",IF(AND(ISNUMBER($P11),$P11&lt;1),"Current liabilities exceed current assets",IF(AND(ISNUMBER($T11),$T11&gt;2),"High leverage",IF(AND(ISNUMBER($Y11),$Y11&gt;120),"Slow receivables collection",IF(AND(ISNUMBER($AC11),$AC11&lt;0),"Negative working capital",IF(OR('DATA ENTRY'!$E11="Unaudited",'DATA ENTRY'!$E11="Banker Letter Only",'DATA ENTRY'!$E11="Management Accounts"),"Statement status limits weight on ratios","No major red flag from entered ratios"))))))))</f>
        <v/>
      </c>
    </row>
    <row r="12" spans="1:35">
      <c r="A12" s="13" t="str">
        <f>IF('DATA ENTRY'!$B12&lt;&gt;"",'DATA ENTRY'!$A12,"")</f>
        <v/>
      </c>
      <c r="B12" s="13" t="str">
        <f>IF('DATA ENTRY'!$B12&lt;&gt;"",'DATA ENTRY'!$B12,"")</f>
        <v/>
      </c>
      <c r="C12" s="13" t="str">
        <f>IF('DATA ENTRY'!$B12&lt;&gt;"",'DATA ENTRY'!$C12,"")</f>
        <v/>
      </c>
      <c r="D12" s="13" t="str">
        <f>IF('DATA ENTRY'!$B12&lt;&gt;"",'DATA ENTRY'!$D12,"")</f>
        <v/>
      </c>
      <c r="E12" s="13" t="str">
        <f>IF('DATA ENTRY'!$B12&lt;&gt;"",'DATA ENTRY'!$E12,"")</f>
        <v/>
      </c>
      <c r="F12" s="13" t="str">
        <f>IF($B12="","",IF('DATA ENTRY'!$Y12="Yes","Checked",IF('DATA ENTRY'!$Y12="No","Needs check","Not marked")))</f>
        <v/>
      </c>
      <c r="G12" s="22" t="str">
        <f>IF($B12="","",IF('DATA ENTRY'!$I12&lt;&gt;"",'DATA ENTRY'!$I12,IF(AND('DATA ENTRY'!$G12&lt;&gt;"",'DATA ENTRY'!$H12&lt;&gt;""),'DATA ENTRY'!$G12-'DATA ENTRY'!$H12,"")))</f>
        <v/>
      </c>
      <c r="H12" s="23" t="str">
        <f>IF(OR($B12="",$G12="",'DATA ENTRY'!$G12=""),"",IFERROR($G12/'DATA ENTRY'!$G12,""))</f>
        <v/>
      </c>
      <c r="I12" s="24" t="str">
        <f t="shared" si="0"/>
        <v/>
      </c>
      <c r="J12" s="23" t="str">
        <f>IF(OR($B12="",'DATA ENTRY'!$J12="",'DATA ENTRY'!$G12=""),"",IFERROR('DATA ENTRY'!$J12/'DATA ENTRY'!$G12,""))</f>
        <v/>
      </c>
      <c r="K12" s="24" t="str">
        <f t="shared" si="1"/>
        <v/>
      </c>
      <c r="L12" s="23" t="str">
        <f>IF(OR($B12="",'DATA ENTRY'!$J12="",'DATA ENTRY'!$Q12=""),"",IFERROR('DATA ENTRY'!$J12/'DATA ENTRY'!$Q12,""))</f>
        <v/>
      </c>
      <c r="M12" s="24" t="str">
        <f t="shared" si="2"/>
        <v/>
      </c>
      <c r="N12" s="23" t="str">
        <f>IF(OR($B12="",'DATA ENTRY'!$J12="",'DATA ENTRY'!$U12="",'DATA ENTRY'!$U12&lt;=0),"",IFERROR('DATA ENTRY'!$J12/'DATA ENTRY'!$U12,""))</f>
        <v/>
      </c>
      <c r="O12" s="24" t="str">
        <f>IF($B12="","",IF(OR('DATA ENTRY'!$J12="",'DATA ENTRY'!$U12=""),"Not entered",IF('DATA ENTRY'!$U12&lt;=0,"High-risk",IF($N12&gt;=0.15,"Strong",IF($N12&gt;=0.08,"Adequate",IF($N12&gt;=0,"Caution","High-risk"))))))</f>
        <v/>
      </c>
      <c r="P12" s="25" t="str">
        <f>IF(OR($B12="",'DATA ENTRY'!$K12="",'DATA ENTRY'!$R12=""),"",IFERROR('DATA ENTRY'!$K12/'DATA ENTRY'!$R12,""))</f>
        <v/>
      </c>
      <c r="Q12" s="24" t="str">
        <f t="shared" si="3"/>
        <v/>
      </c>
      <c r="R12" s="25" t="str">
        <f>IF(OR($B12="",'DATA ENTRY'!$K12="",'DATA ENTRY'!$R12=""),"",IFERROR(('DATA ENTRY'!$K12-IF('DATA ENTRY'!$O12="",0,'DATA ENTRY'!$O12))/'DATA ENTRY'!$R12,""))</f>
        <v/>
      </c>
      <c r="S12" s="24" t="str">
        <f t="shared" si="4"/>
        <v/>
      </c>
      <c r="T12" s="25" t="str">
        <f>IF(OR($B12="",'DATA ENTRY'!$T12="",'DATA ENTRY'!$U12="",'DATA ENTRY'!$U12&lt;=0),"",IFERROR('DATA ENTRY'!$T12/'DATA ENTRY'!$U12,""))</f>
        <v/>
      </c>
      <c r="U12" s="24" t="str">
        <f>IF($B12="","",IF(OR('DATA ENTRY'!$T12="",'DATA ENTRY'!$U12=""),"Not entered",IF('DATA ENTRY'!$U12&lt;=0,"High-risk",IF($T12&lt;=1,"Strong",IF($T12&lt;=1.5,"Adequate",IF($T12&lt;=2,"Caution","High-risk"))))))</f>
        <v/>
      </c>
      <c r="V12" s="23" t="str">
        <f>IF(OR($B12="",'DATA ENTRY'!$U12="",'DATA ENTRY'!$Q12=""),"",IFERROR('DATA ENTRY'!$U12/'DATA ENTRY'!$Q12,""))</f>
        <v/>
      </c>
      <c r="W12" s="24" t="str">
        <f t="shared" si="5"/>
        <v/>
      </c>
      <c r="X12" s="25" t="str">
        <f>IF(OR($B12="",'DATA ENTRY'!$G12="",'DATA ENTRY'!$M12=""),"",IF('DATA ENTRY'!$N12&lt;&gt;"",'DATA ENTRY'!$G12/AVERAGE('DATA ENTRY'!$M12,'DATA ENTRY'!$N12),IFERROR('DATA ENTRY'!$G12/'DATA ENTRY'!$M12,"")))</f>
        <v/>
      </c>
      <c r="Y12" s="26" t="str">
        <f t="shared" si="6"/>
        <v/>
      </c>
      <c r="Z12" s="24" t="str">
        <f t="shared" si="7"/>
        <v/>
      </c>
      <c r="AA12" s="25" t="str">
        <f>IF(OR($B12="",'DATA ENTRY'!$G12="",'DATA ENTRY'!$Q12=""),"",IFERROR('DATA ENTRY'!$G12/'DATA ENTRY'!$Q12,""))</f>
        <v/>
      </c>
      <c r="AB12" s="24" t="str">
        <f t="shared" si="8"/>
        <v/>
      </c>
      <c r="AC12" s="27" t="str">
        <f>IF(OR($B12="",'DATA ENTRY'!$K12="",'DATA ENTRY'!$R12=""),"",'DATA ENTRY'!$K12-'DATA ENTRY'!$R12)</f>
        <v/>
      </c>
      <c r="AD12" s="24" t="str">
        <f>IF($B12="","",IF($AC12="","Not entered",IF($AC12&lt;0,"High-risk",IF($AC12=0,"Caution",IF('DATA ENTRY'!$L12="","Adequate",IFERROR(IF('DATA ENTRY'!$L12/'DATA ENTRY'!$R12&gt;=0.25,"Strong","Adequate"),"Adequate"))))))</f>
        <v/>
      </c>
      <c r="AE12" s="25" t="str">
        <f>IF($B12="","",IF(OR('DATA ENTRY'!$W12="",'DATA ENTRY'!$W12=0),"N/A",IF('DATA ENTRY'!$V12="","",IFERROR('DATA ENTRY'!$V12/'DATA ENTRY'!$W12,""))))</f>
        <v/>
      </c>
      <c r="AF12" s="24" t="str">
        <f t="shared" si="9"/>
        <v/>
      </c>
      <c r="AG12" s="25" t="str">
        <f t="shared" si="10"/>
        <v/>
      </c>
      <c r="AH12" s="24" t="str">
        <f>IF($B12="","",IF(AND(ISNUMBER('DATA ENTRY'!$U12),'DATA ENTRY'!$U12&lt;=0),"Financially stretched",IF($AG12="","Insufficient data",IF(AND(ISNUMBER('DATA ENTRY'!$J12),'DATA ENTRY'!$J12&lt;0),IF($AG12&gt;=2,"Adequate with caution","Financially stretched"),IF($AG12&gt;=3.5,"Financially strong",IF($AG12&gt;=2.75,"Financially adequate",IF($AG12&gt;=2,"Adequate with caution","Financially stretched")))))))</f>
        <v/>
      </c>
      <c r="AI12" s="28" t="str">
        <f>IF($B12="","",IF(AND(ISNUMBER('DATA ENTRY'!$U12),'DATA ENTRY'!$U12&lt;=0),"Negative equity — possible insolvency",IF(AND(ISNUMBER('DATA ENTRY'!$J12),'DATA ENTRY'!$J12&lt;0),"Loss position",IF(AND(ISNUMBER($P12),$P12&lt;1),"Current liabilities exceed current assets",IF(AND(ISNUMBER($T12),$T12&gt;2),"High leverage",IF(AND(ISNUMBER($Y12),$Y12&gt;120),"Slow receivables collection",IF(AND(ISNUMBER($AC12),$AC12&lt;0),"Negative working capital",IF(OR('DATA ENTRY'!$E12="Unaudited",'DATA ENTRY'!$E12="Banker Letter Only",'DATA ENTRY'!$E12="Management Accounts"),"Statement status limits weight on ratios","No major red flag from entered ratios"))))))))</f>
        <v/>
      </c>
    </row>
    <row r="13" spans="1:35">
      <c r="A13" s="13" t="str">
        <f>IF('DATA ENTRY'!$B13&lt;&gt;"",'DATA ENTRY'!$A13,"")</f>
        <v/>
      </c>
      <c r="B13" s="13" t="str">
        <f>IF('DATA ENTRY'!$B13&lt;&gt;"",'DATA ENTRY'!$B13,"")</f>
        <v/>
      </c>
      <c r="C13" s="13" t="str">
        <f>IF('DATA ENTRY'!$B13&lt;&gt;"",'DATA ENTRY'!$C13,"")</f>
        <v/>
      </c>
      <c r="D13" s="13" t="str">
        <f>IF('DATA ENTRY'!$B13&lt;&gt;"",'DATA ENTRY'!$D13,"")</f>
        <v/>
      </c>
      <c r="E13" s="13" t="str">
        <f>IF('DATA ENTRY'!$B13&lt;&gt;"",'DATA ENTRY'!$E13,"")</f>
        <v/>
      </c>
      <c r="F13" s="13" t="str">
        <f>IF($B13="","",IF('DATA ENTRY'!$Y13="Yes","Checked",IF('DATA ENTRY'!$Y13="No","Needs check","Not marked")))</f>
        <v/>
      </c>
      <c r="G13" s="22" t="str">
        <f>IF($B13="","",IF('DATA ENTRY'!$I13&lt;&gt;"",'DATA ENTRY'!$I13,IF(AND('DATA ENTRY'!$G13&lt;&gt;"",'DATA ENTRY'!$H13&lt;&gt;""),'DATA ENTRY'!$G13-'DATA ENTRY'!$H13,"")))</f>
        <v/>
      </c>
      <c r="H13" s="23" t="str">
        <f>IF(OR($B13="",$G13="",'DATA ENTRY'!$G13=""),"",IFERROR($G13/'DATA ENTRY'!$G13,""))</f>
        <v/>
      </c>
      <c r="I13" s="24" t="str">
        <f t="shared" si="0"/>
        <v/>
      </c>
      <c r="J13" s="23" t="str">
        <f>IF(OR($B13="",'DATA ENTRY'!$J13="",'DATA ENTRY'!$G13=""),"",IFERROR('DATA ENTRY'!$J13/'DATA ENTRY'!$G13,""))</f>
        <v/>
      </c>
      <c r="K13" s="24" t="str">
        <f t="shared" si="1"/>
        <v/>
      </c>
      <c r="L13" s="23" t="str">
        <f>IF(OR($B13="",'DATA ENTRY'!$J13="",'DATA ENTRY'!$Q13=""),"",IFERROR('DATA ENTRY'!$J13/'DATA ENTRY'!$Q13,""))</f>
        <v/>
      </c>
      <c r="M13" s="24" t="str">
        <f t="shared" si="2"/>
        <v/>
      </c>
      <c r="N13" s="23" t="str">
        <f>IF(OR($B13="",'DATA ENTRY'!$J13="",'DATA ENTRY'!$U13="",'DATA ENTRY'!$U13&lt;=0),"",IFERROR('DATA ENTRY'!$J13/'DATA ENTRY'!$U13,""))</f>
        <v/>
      </c>
      <c r="O13" s="24" t="str">
        <f>IF($B13="","",IF(OR('DATA ENTRY'!$J13="",'DATA ENTRY'!$U13=""),"Not entered",IF('DATA ENTRY'!$U13&lt;=0,"High-risk",IF($N13&gt;=0.15,"Strong",IF($N13&gt;=0.08,"Adequate",IF($N13&gt;=0,"Caution","High-risk"))))))</f>
        <v/>
      </c>
      <c r="P13" s="25" t="str">
        <f>IF(OR($B13="",'DATA ENTRY'!$K13="",'DATA ENTRY'!$R13=""),"",IFERROR('DATA ENTRY'!$K13/'DATA ENTRY'!$R13,""))</f>
        <v/>
      </c>
      <c r="Q13" s="24" t="str">
        <f t="shared" si="3"/>
        <v/>
      </c>
      <c r="R13" s="25" t="str">
        <f>IF(OR($B13="",'DATA ENTRY'!$K13="",'DATA ENTRY'!$R13=""),"",IFERROR(('DATA ENTRY'!$K13-IF('DATA ENTRY'!$O13="",0,'DATA ENTRY'!$O13))/'DATA ENTRY'!$R13,""))</f>
        <v/>
      </c>
      <c r="S13" s="24" t="str">
        <f t="shared" si="4"/>
        <v/>
      </c>
      <c r="T13" s="25" t="str">
        <f>IF(OR($B13="",'DATA ENTRY'!$T13="",'DATA ENTRY'!$U13="",'DATA ENTRY'!$U13&lt;=0),"",IFERROR('DATA ENTRY'!$T13/'DATA ENTRY'!$U13,""))</f>
        <v/>
      </c>
      <c r="U13" s="24" t="str">
        <f>IF($B13="","",IF(OR('DATA ENTRY'!$T13="",'DATA ENTRY'!$U13=""),"Not entered",IF('DATA ENTRY'!$U13&lt;=0,"High-risk",IF($T13&lt;=1,"Strong",IF($T13&lt;=1.5,"Adequate",IF($T13&lt;=2,"Caution","High-risk"))))))</f>
        <v/>
      </c>
      <c r="V13" s="23" t="str">
        <f>IF(OR($B13="",'DATA ENTRY'!$U13="",'DATA ENTRY'!$Q13=""),"",IFERROR('DATA ENTRY'!$U13/'DATA ENTRY'!$Q13,""))</f>
        <v/>
      </c>
      <c r="W13" s="24" t="str">
        <f t="shared" si="5"/>
        <v/>
      </c>
      <c r="X13" s="25" t="str">
        <f>IF(OR($B13="",'DATA ENTRY'!$G13="",'DATA ENTRY'!$M13=""),"",IF('DATA ENTRY'!$N13&lt;&gt;"",'DATA ENTRY'!$G13/AVERAGE('DATA ENTRY'!$M13,'DATA ENTRY'!$N13),IFERROR('DATA ENTRY'!$G13/'DATA ENTRY'!$M13,"")))</f>
        <v/>
      </c>
      <c r="Y13" s="26" t="str">
        <f t="shared" si="6"/>
        <v/>
      </c>
      <c r="Z13" s="24" t="str">
        <f t="shared" si="7"/>
        <v/>
      </c>
      <c r="AA13" s="25" t="str">
        <f>IF(OR($B13="",'DATA ENTRY'!$G13="",'DATA ENTRY'!$Q13=""),"",IFERROR('DATA ENTRY'!$G13/'DATA ENTRY'!$Q13,""))</f>
        <v/>
      </c>
      <c r="AB13" s="24" t="str">
        <f t="shared" si="8"/>
        <v/>
      </c>
      <c r="AC13" s="27" t="str">
        <f>IF(OR($B13="",'DATA ENTRY'!$K13="",'DATA ENTRY'!$R13=""),"",'DATA ENTRY'!$K13-'DATA ENTRY'!$R13)</f>
        <v/>
      </c>
      <c r="AD13" s="24" t="str">
        <f>IF($B13="","",IF($AC13="","Not entered",IF($AC13&lt;0,"High-risk",IF($AC13=0,"Caution",IF('DATA ENTRY'!$L13="","Adequate",IFERROR(IF('DATA ENTRY'!$L13/'DATA ENTRY'!$R13&gt;=0.25,"Strong","Adequate"),"Adequate"))))))</f>
        <v/>
      </c>
      <c r="AE13" s="25" t="str">
        <f>IF($B13="","",IF(OR('DATA ENTRY'!$W13="",'DATA ENTRY'!$W13=0),"N/A",IF('DATA ENTRY'!$V13="","",IFERROR('DATA ENTRY'!$V13/'DATA ENTRY'!$W13,""))))</f>
        <v/>
      </c>
      <c r="AF13" s="24" t="str">
        <f t="shared" si="9"/>
        <v/>
      </c>
      <c r="AG13" s="25" t="str">
        <f t="shared" si="10"/>
        <v/>
      </c>
      <c r="AH13" s="24" t="str">
        <f>IF($B13="","",IF(AND(ISNUMBER('DATA ENTRY'!$U13),'DATA ENTRY'!$U13&lt;=0),"Financially stretched",IF($AG13="","Insufficient data",IF(AND(ISNUMBER('DATA ENTRY'!$J13),'DATA ENTRY'!$J13&lt;0),IF($AG13&gt;=2,"Adequate with caution","Financially stretched"),IF($AG13&gt;=3.5,"Financially strong",IF($AG13&gt;=2.75,"Financially adequate",IF($AG13&gt;=2,"Adequate with caution","Financially stretched")))))))</f>
        <v/>
      </c>
      <c r="AI13" s="28" t="str">
        <f>IF($B13="","",IF(AND(ISNUMBER('DATA ENTRY'!$U13),'DATA ENTRY'!$U13&lt;=0),"Negative equity — possible insolvency",IF(AND(ISNUMBER('DATA ENTRY'!$J13),'DATA ENTRY'!$J13&lt;0),"Loss position",IF(AND(ISNUMBER($P13),$P13&lt;1),"Current liabilities exceed current assets",IF(AND(ISNUMBER($T13),$T13&gt;2),"High leverage",IF(AND(ISNUMBER($Y13),$Y13&gt;120),"Slow receivables collection",IF(AND(ISNUMBER($AC13),$AC13&lt;0),"Negative working capital",IF(OR('DATA ENTRY'!$E13="Unaudited",'DATA ENTRY'!$E13="Banker Letter Only",'DATA ENTRY'!$E13="Management Accounts"),"Statement status limits weight on ratios","No major red flag from entered ratios"))))))))</f>
        <v/>
      </c>
    </row>
    <row r="14" spans="1:35">
      <c r="A14" s="13" t="str">
        <f>IF('DATA ENTRY'!$B14&lt;&gt;"",'DATA ENTRY'!$A14,"")</f>
        <v/>
      </c>
      <c r="B14" s="13" t="str">
        <f>IF('DATA ENTRY'!$B14&lt;&gt;"",'DATA ENTRY'!$B14,"")</f>
        <v/>
      </c>
      <c r="C14" s="13" t="str">
        <f>IF('DATA ENTRY'!$B14&lt;&gt;"",'DATA ENTRY'!$C14,"")</f>
        <v/>
      </c>
      <c r="D14" s="13" t="str">
        <f>IF('DATA ENTRY'!$B14&lt;&gt;"",'DATA ENTRY'!$D14,"")</f>
        <v/>
      </c>
      <c r="E14" s="13" t="str">
        <f>IF('DATA ENTRY'!$B14&lt;&gt;"",'DATA ENTRY'!$E14,"")</f>
        <v/>
      </c>
      <c r="F14" s="13" t="str">
        <f>IF($B14="","",IF('DATA ENTRY'!$Y14="Yes","Checked",IF('DATA ENTRY'!$Y14="No","Needs check","Not marked")))</f>
        <v/>
      </c>
      <c r="G14" s="22" t="str">
        <f>IF($B14="","",IF('DATA ENTRY'!$I14&lt;&gt;"",'DATA ENTRY'!$I14,IF(AND('DATA ENTRY'!$G14&lt;&gt;"",'DATA ENTRY'!$H14&lt;&gt;""),'DATA ENTRY'!$G14-'DATA ENTRY'!$H14,"")))</f>
        <v/>
      </c>
      <c r="H14" s="23" t="str">
        <f>IF(OR($B14="",$G14="",'DATA ENTRY'!$G14=""),"",IFERROR($G14/'DATA ENTRY'!$G14,""))</f>
        <v/>
      </c>
      <c r="I14" s="24" t="str">
        <f t="shared" si="0"/>
        <v/>
      </c>
      <c r="J14" s="23" t="str">
        <f>IF(OR($B14="",'DATA ENTRY'!$J14="",'DATA ENTRY'!$G14=""),"",IFERROR('DATA ENTRY'!$J14/'DATA ENTRY'!$G14,""))</f>
        <v/>
      </c>
      <c r="K14" s="24" t="str">
        <f t="shared" si="1"/>
        <v/>
      </c>
      <c r="L14" s="23" t="str">
        <f>IF(OR($B14="",'DATA ENTRY'!$J14="",'DATA ENTRY'!$Q14=""),"",IFERROR('DATA ENTRY'!$J14/'DATA ENTRY'!$Q14,""))</f>
        <v/>
      </c>
      <c r="M14" s="24" t="str">
        <f t="shared" si="2"/>
        <v/>
      </c>
      <c r="N14" s="23" t="str">
        <f>IF(OR($B14="",'DATA ENTRY'!$J14="",'DATA ENTRY'!$U14="",'DATA ENTRY'!$U14&lt;=0),"",IFERROR('DATA ENTRY'!$J14/'DATA ENTRY'!$U14,""))</f>
        <v/>
      </c>
      <c r="O14" s="24" t="str">
        <f>IF($B14="","",IF(OR('DATA ENTRY'!$J14="",'DATA ENTRY'!$U14=""),"Not entered",IF('DATA ENTRY'!$U14&lt;=0,"High-risk",IF($N14&gt;=0.15,"Strong",IF($N14&gt;=0.08,"Adequate",IF($N14&gt;=0,"Caution","High-risk"))))))</f>
        <v/>
      </c>
      <c r="P14" s="25" t="str">
        <f>IF(OR($B14="",'DATA ENTRY'!$K14="",'DATA ENTRY'!$R14=""),"",IFERROR('DATA ENTRY'!$K14/'DATA ENTRY'!$R14,""))</f>
        <v/>
      </c>
      <c r="Q14" s="24" t="str">
        <f t="shared" si="3"/>
        <v/>
      </c>
      <c r="R14" s="25" t="str">
        <f>IF(OR($B14="",'DATA ENTRY'!$K14="",'DATA ENTRY'!$R14=""),"",IFERROR(('DATA ENTRY'!$K14-IF('DATA ENTRY'!$O14="",0,'DATA ENTRY'!$O14))/'DATA ENTRY'!$R14,""))</f>
        <v/>
      </c>
      <c r="S14" s="24" t="str">
        <f t="shared" si="4"/>
        <v/>
      </c>
      <c r="T14" s="25" t="str">
        <f>IF(OR($B14="",'DATA ENTRY'!$T14="",'DATA ENTRY'!$U14="",'DATA ENTRY'!$U14&lt;=0),"",IFERROR('DATA ENTRY'!$T14/'DATA ENTRY'!$U14,""))</f>
        <v/>
      </c>
      <c r="U14" s="24" t="str">
        <f>IF($B14="","",IF(OR('DATA ENTRY'!$T14="",'DATA ENTRY'!$U14=""),"Not entered",IF('DATA ENTRY'!$U14&lt;=0,"High-risk",IF($T14&lt;=1,"Strong",IF($T14&lt;=1.5,"Adequate",IF($T14&lt;=2,"Caution","High-risk"))))))</f>
        <v/>
      </c>
      <c r="V14" s="23" t="str">
        <f>IF(OR($B14="",'DATA ENTRY'!$U14="",'DATA ENTRY'!$Q14=""),"",IFERROR('DATA ENTRY'!$U14/'DATA ENTRY'!$Q14,""))</f>
        <v/>
      </c>
      <c r="W14" s="24" t="str">
        <f t="shared" si="5"/>
        <v/>
      </c>
      <c r="X14" s="25" t="str">
        <f>IF(OR($B14="",'DATA ENTRY'!$G14="",'DATA ENTRY'!$M14=""),"",IF('DATA ENTRY'!$N14&lt;&gt;"",'DATA ENTRY'!$G14/AVERAGE('DATA ENTRY'!$M14,'DATA ENTRY'!$N14),IFERROR('DATA ENTRY'!$G14/'DATA ENTRY'!$M14,"")))</f>
        <v/>
      </c>
      <c r="Y14" s="26" t="str">
        <f t="shared" si="6"/>
        <v/>
      </c>
      <c r="Z14" s="24" t="str">
        <f t="shared" si="7"/>
        <v/>
      </c>
      <c r="AA14" s="25" t="str">
        <f>IF(OR($B14="",'DATA ENTRY'!$G14="",'DATA ENTRY'!$Q14=""),"",IFERROR('DATA ENTRY'!$G14/'DATA ENTRY'!$Q14,""))</f>
        <v/>
      </c>
      <c r="AB14" s="24" t="str">
        <f t="shared" si="8"/>
        <v/>
      </c>
      <c r="AC14" s="27" t="str">
        <f>IF(OR($B14="",'DATA ENTRY'!$K14="",'DATA ENTRY'!$R14=""),"",'DATA ENTRY'!$K14-'DATA ENTRY'!$R14)</f>
        <v/>
      </c>
      <c r="AD14" s="24" t="str">
        <f>IF($B14="","",IF($AC14="","Not entered",IF($AC14&lt;0,"High-risk",IF($AC14=0,"Caution",IF('DATA ENTRY'!$L14="","Adequate",IFERROR(IF('DATA ENTRY'!$L14/'DATA ENTRY'!$R14&gt;=0.25,"Strong","Adequate"),"Adequate"))))))</f>
        <v/>
      </c>
      <c r="AE14" s="25" t="str">
        <f>IF($B14="","",IF(OR('DATA ENTRY'!$W14="",'DATA ENTRY'!$W14=0),"N/A",IF('DATA ENTRY'!$V14="","",IFERROR('DATA ENTRY'!$V14/'DATA ENTRY'!$W14,""))))</f>
        <v/>
      </c>
      <c r="AF14" s="24" t="str">
        <f t="shared" si="9"/>
        <v/>
      </c>
      <c r="AG14" s="25" t="str">
        <f t="shared" si="10"/>
        <v/>
      </c>
      <c r="AH14" s="24" t="str">
        <f>IF($B14="","",IF(AND(ISNUMBER('DATA ENTRY'!$U14),'DATA ENTRY'!$U14&lt;=0),"Financially stretched",IF($AG14="","Insufficient data",IF(AND(ISNUMBER('DATA ENTRY'!$J14),'DATA ENTRY'!$J14&lt;0),IF($AG14&gt;=2,"Adequate with caution","Financially stretched"),IF($AG14&gt;=3.5,"Financially strong",IF($AG14&gt;=2.75,"Financially adequate",IF($AG14&gt;=2,"Adequate with caution","Financially stretched")))))))</f>
        <v/>
      </c>
      <c r="AI14" s="28" t="str">
        <f>IF($B14="","",IF(AND(ISNUMBER('DATA ENTRY'!$U14),'DATA ENTRY'!$U14&lt;=0),"Negative equity — possible insolvency",IF(AND(ISNUMBER('DATA ENTRY'!$J14),'DATA ENTRY'!$J14&lt;0),"Loss position",IF(AND(ISNUMBER($P14),$P14&lt;1),"Current liabilities exceed current assets",IF(AND(ISNUMBER($T14),$T14&gt;2),"High leverage",IF(AND(ISNUMBER($Y14),$Y14&gt;120),"Slow receivables collection",IF(AND(ISNUMBER($AC14),$AC14&lt;0),"Negative working capital",IF(OR('DATA ENTRY'!$E14="Unaudited",'DATA ENTRY'!$E14="Banker Letter Only",'DATA ENTRY'!$E14="Management Accounts"),"Statement status limits weight on ratios","No major red flag from entered ratios"))))))))</f>
        <v/>
      </c>
    </row>
    <row r="15" spans="1:35">
      <c r="A15" s="13" t="str">
        <f>IF('DATA ENTRY'!$B15&lt;&gt;"",'DATA ENTRY'!$A15,"")</f>
        <v/>
      </c>
      <c r="B15" s="13" t="str">
        <f>IF('DATA ENTRY'!$B15&lt;&gt;"",'DATA ENTRY'!$B15,"")</f>
        <v/>
      </c>
      <c r="C15" s="13" t="str">
        <f>IF('DATA ENTRY'!$B15&lt;&gt;"",'DATA ENTRY'!$C15,"")</f>
        <v/>
      </c>
      <c r="D15" s="13" t="str">
        <f>IF('DATA ENTRY'!$B15&lt;&gt;"",'DATA ENTRY'!$D15,"")</f>
        <v/>
      </c>
      <c r="E15" s="13" t="str">
        <f>IF('DATA ENTRY'!$B15&lt;&gt;"",'DATA ENTRY'!$E15,"")</f>
        <v/>
      </c>
      <c r="F15" s="13" t="str">
        <f>IF($B15="","",IF('DATA ENTRY'!$Y15="Yes","Checked",IF('DATA ENTRY'!$Y15="No","Needs check","Not marked")))</f>
        <v/>
      </c>
      <c r="G15" s="22" t="str">
        <f>IF($B15="","",IF('DATA ENTRY'!$I15&lt;&gt;"",'DATA ENTRY'!$I15,IF(AND('DATA ENTRY'!$G15&lt;&gt;"",'DATA ENTRY'!$H15&lt;&gt;""),'DATA ENTRY'!$G15-'DATA ENTRY'!$H15,"")))</f>
        <v/>
      </c>
      <c r="H15" s="23" t="str">
        <f>IF(OR($B15="",$G15="",'DATA ENTRY'!$G15=""),"",IFERROR($G15/'DATA ENTRY'!$G15,""))</f>
        <v/>
      </c>
      <c r="I15" s="24" t="str">
        <f t="shared" si="0"/>
        <v/>
      </c>
      <c r="J15" s="23" t="str">
        <f>IF(OR($B15="",'DATA ENTRY'!$J15="",'DATA ENTRY'!$G15=""),"",IFERROR('DATA ENTRY'!$J15/'DATA ENTRY'!$G15,""))</f>
        <v/>
      </c>
      <c r="K15" s="24" t="str">
        <f t="shared" si="1"/>
        <v/>
      </c>
      <c r="L15" s="23" t="str">
        <f>IF(OR($B15="",'DATA ENTRY'!$J15="",'DATA ENTRY'!$Q15=""),"",IFERROR('DATA ENTRY'!$J15/'DATA ENTRY'!$Q15,""))</f>
        <v/>
      </c>
      <c r="M15" s="24" t="str">
        <f t="shared" si="2"/>
        <v/>
      </c>
      <c r="N15" s="23" t="str">
        <f>IF(OR($B15="",'DATA ENTRY'!$J15="",'DATA ENTRY'!$U15="",'DATA ENTRY'!$U15&lt;=0),"",IFERROR('DATA ENTRY'!$J15/'DATA ENTRY'!$U15,""))</f>
        <v/>
      </c>
      <c r="O15" s="24" t="str">
        <f>IF($B15="","",IF(OR('DATA ENTRY'!$J15="",'DATA ENTRY'!$U15=""),"Not entered",IF('DATA ENTRY'!$U15&lt;=0,"High-risk",IF($N15&gt;=0.15,"Strong",IF($N15&gt;=0.08,"Adequate",IF($N15&gt;=0,"Caution","High-risk"))))))</f>
        <v/>
      </c>
      <c r="P15" s="25" t="str">
        <f>IF(OR($B15="",'DATA ENTRY'!$K15="",'DATA ENTRY'!$R15=""),"",IFERROR('DATA ENTRY'!$K15/'DATA ENTRY'!$R15,""))</f>
        <v/>
      </c>
      <c r="Q15" s="24" t="str">
        <f t="shared" si="3"/>
        <v/>
      </c>
      <c r="R15" s="25" t="str">
        <f>IF(OR($B15="",'DATA ENTRY'!$K15="",'DATA ENTRY'!$R15=""),"",IFERROR(('DATA ENTRY'!$K15-IF('DATA ENTRY'!$O15="",0,'DATA ENTRY'!$O15))/'DATA ENTRY'!$R15,""))</f>
        <v/>
      </c>
      <c r="S15" s="24" t="str">
        <f t="shared" si="4"/>
        <v/>
      </c>
      <c r="T15" s="25" t="str">
        <f>IF(OR($B15="",'DATA ENTRY'!$T15="",'DATA ENTRY'!$U15="",'DATA ENTRY'!$U15&lt;=0),"",IFERROR('DATA ENTRY'!$T15/'DATA ENTRY'!$U15,""))</f>
        <v/>
      </c>
      <c r="U15" s="24" t="str">
        <f>IF($B15="","",IF(OR('DATA ENTRY'!$T15="",'DATA ENTRY'!$U15=""),"Not entered",IF('DATA ENTRY'!$U15&lt;=0,"High-risk",IF($T15&lt;=1,"Strong",IF($T15&lt;=1.5,"Adequate",IF($T15&lt;=2,"Caution","High-risk"))))))</f>
        <v/>
      </c>
      <c r="V15" s="23" t="str">
        <f>IF(OR($B15="",'DATA ENTRY'!$U15="",'DATA ENTRY'!$Q15=""),"",IFERROR('DATA ENTRY'!$U15/'DATA ENTRY'!$Q15,""))</f>
        <v/>
      </c>
      <c r="W15" s="24" t="str">
        <f t="shared" si="5"/>
        <v/>
      </c>
      <c r="X15" s="25" t="str">
        <f>IF(OR($B15="",'DATA ENTRY'!$G15="",'DATA ENTRY'!$M15=""),"",IF('DATA ENTRY'!$N15&lt;&gt;"",'DATA ENTRY'!$G15/AVERAGE('DATA ENTRY'!$M15,'DATA ENTRY'!$N15),IFERROR('DATA ENTRY'!$G15/'DATA ENTRY'!$M15,"")))</f>
        <v/>
      </c>
      <c r="Y15" s="26" t="str">
        <f t="shared" si="6"/>
        <v/>
      </c>
      <c r="Z15" s="24" t="str">
        <f t="shared" si="7"/>
        <v/>
      </c>
      <c r="AA15" s="25" t="str">
        <f>IF(OR($B15="",'DATA ENTRY'!$G15="",'DATA ENTRY'!$Q15=""),"",IFERROR('DATA ENTRY'!$G15/'DATA ENTRY'!$Q15,""))</f>
        <v/>
      </c>
      <c r="AB15" s="24" t="str">
        <f t="shared" si="8"/>
        <v/>
      </c>
      <c r="AC15" s="27" t="str">
        <f>IF(OR($B15="",'DATA ENTRY'!$K15="",'DATA ENTRY'!$R15=""),"",'DATA ENTRY'!$K15-'DATA ENTRY'!$R15)</f>
        <v/>
      </c>
      <c r="AD15" s="24" t="str">
        <f>IF($B15="","",IF($AC15="","Not entered",IF($AC15&lt;0,"High-risk",IF($AC15=0,"Caution",IF('DATA ENTRY'!$L15="","Adequate",IFERROR(IF('DATA ENTRY'!$L15/'DATA ENTRY'!$R15&gt;=0.25,"Strong","Adequate"),"Adequate"))))))</f>
        <v/>
      </c>
      <c r="AE15" s="25" t="str">
        <f>IF($B15="","",IF(OR('DATA ENTRY'!$W15="",'DATA ENTRY'!$W15=0),"N/A",IF('DATA ENTRY'!$V15="","",IFERROR('DATA ENTRY'!$V15/'DATA ENTRY'!$W15,""))))</f>
        <v/>
      </c>
      <c r="AF15" s="24" t="str">
        <f t="shared" si="9"/>
        <v/>
      </c>
      <c r="AG15" s="25" t="str">
        <f t="shared" si="10"/>
        <v/>
      </c>
      <c r="AH15" s="24" t="str">
        <f>IF($B15="","",IF(AND(ISNUMBER('DATA ENTRY'!$U15),'DATA ENTRY'!$U15&lt;=0),"Financially stretched",IF($AG15="","Insufficient data",IF(AND(ISNUMBER('DATA ENTRY'!$J15),'DATA ENTRY'!$J15&lt;0),IF($AG15&gt;=2,"Adequate with caution","Financially stretched"),IF($AG15&gt;=3.5,"Financially strong",IF($AG15&gt;=2.75,"Financially adequate",IF($AG15&gt;=2,"Adequate with caution","Financially stretched")))))))</f>
        <v/>
      </c>
      <c r="AI15" s="28" t="str">
        <f>IF($B15="","",IF(AND(ISNUMBER('DATA ENTRY'!$U15),'DATA ENTRY'!$U15&lt;=0),"Negative equity — possible insolvency",IF(AND(ISNUMBER('DATA ENTRY'!$J15),'DATA ENTRY'!$J15&lt;0),"Loss position",IF(AND(ISNUMBER($P15),$P15&lt;1),"Current liabilities exceed current assets",IF(AND(ISNUMBER($T15),$T15&gt;2),"High leverage",IF(AND(ISNUMBER($Y15),$Y15&gt;120),"Slow receivables collection",IF(AND(ISNUMBER($AC15),$AC15&lt;0),"Negative working capital",IF(OR('DATA ENTRY'!$E15="Unaudited",'DATA ENTRY'!$E15="Banker Letter Only",'DATA ENTRY'!$E15="Management Accounts"),"Statement status limits weight on ratios","No major red flag from entered ratios"))))))))</f>
        <v/>
      </c>
    </row>
    <row r="16" spans="1:35">
      <c r="A16" s="13" t="str">
        <f>IF('DATA ENTRY'!$B16&lt;&gt;"",'DATA ENTRY'!$A16,"")</f>
        <v/>
      </c>
      <c r="B16" s="13" t="str">
        <f>IF('DATA ENTRY'!$B16&lt;&gt;"",'DATA ENTRY'!$B16,"")</f>
        <v/>
      </c>
      <c r="C16" s="13" t="str">
        <f>IF('DATA ENTRY'!$B16&lt;&gt;"",'DATA ENTRY'!$C16,"")</f>
        <v/>
      </c>
      <c r="D16" s="13" t="str">
        <f>IF('DATA ENTRY'!$B16&lt;&gt;"",'DATA ENTRY'!$D16,"")</f>
        <v/>
      </c>
      <c r="E16" s="13" t="str">
        <f>IF('DATA ENTRY'!$B16&lt;&gt;"",'DATA ENTRY'!$E16,"")</f>
        <v/>
      </c>
      <c r="F16" s="13" t="str">
        <f>IF($B16="","",IF('DATA ENTRY'!$Y16="Yes","Checked",IF('DATA ENTRY'!$Y16="No","Needs check","Not marked")))</f>
        <v/>
      </c>
      <c r="G16" s="22" t="str">
        <f>IF($B16="","",IF('DATA ENTRY'!$I16&lt;&gt;"",'DATA ENTRY'!$I16,IF(AND('DATA ENTRY'!$G16&lt;&gt;"",'DATA ENTRY'!$H16&lt;&gt;""),'DATA ENTRY'!$G16-'DATA ENTRY'!$H16,"")))</f>
        <v/>
      </c>
      <c r="H16" s="23" t="str">
        <f>IF(OR($B16="",$G16="",'DATA ENTRY'!$G16=""),"",IFERROR($G16/'DATA ENTRY'!$G16,""))</f>
        <v/>
      </c>
      <c r="I16" s="24" t="str">
        <f t="shared" si="0"/>
        <v/>
      </c>
      <c r="J16" s="23" t="str">
        <f>IF(OR($B16="",'DATA ENTRY'!$J16="",'DATA ENTRY'!$G16=""),"",IFERROR('DATA ENTRY'!$J16/'DATA ENTRY'!$G16,""))</f>
        <v/>
      </c>
      <c r="K16" s="24" t="str">
        <f t="shared" si="1"/>
        <v/>
      </c>
      <c r="L16" s="23" t="str">
        <f>IF(OR($B16="",'DATA ENTRY'!$J16="",'DATA ENTRY'!$Q16=""),"",IFERROR('DATA ENTRY'!$J16/'DATA ENTRY'!$Q16,""))</f>
        <v/>
      </c>
      <c r="M16" s="24" t="str">
        <f t="shared" si="2"/>
        <v/>
      </c>
      <c r="N16" s="23" t="str">
        <f>IF(OR($B16="",'DATA ENTRY'!$J16="",'DATA ENTRY'!$U16="",'DATA ENTRY'!$U16&lt;=0),"",IFERROR('DATA ENTRY'!$J16/'DATA ENTRY'!$U16,""))</f>
        <v/>
      </c>
      <c r="O16" s="24" t="str">
        <f>IF($B16="","",IF(OR('DATA ENTRY'!$J16="",'DATA ENTRY'!$U16=""),"Not entered",IF('DATA ENTRY'!$U16&lt;=0,"High-risk",IF($N16&gt;=0.15,"Strong",IF($N16&gt;=0.08,"Adequate",IF($N16&gt;=0,"Caution","High-risk"))))))</f>
        <v/>
      </c>
      <c r="P16" s="25" t="str">
        <f>IF(OR($B16="",'DATA ENTRY'!$K16="",'DATA ENTRY'!$R16=""),"",IFERROR('DATA ENTRY'!$K16/'DATA ENTRY'!$R16,""))</f>
        <v/>
      </c>
      <c r="Q16" s="24" t="str">
        <f t="shared" si="3"/>
        <v/>
      </c>
      <c r="R16" s="25" t="str">
        <f>IF(OR($B16="",'DATA ENTRY'!$K16="",'DATA ENTRY'!$R16=""),"",IFERROR(('DATA ENTRY'!$K16-IF('DATA ENTRY'!$O16="",0,'DATA ENTRY'!$O16))/'DATA ENTRY'!$R16,""))</f>
        <v/>
      </c>
      <c r="S16" s="24" t="str">
        <f t="shared" si="4"/>
        <v/>
      </c>
      <c r="T16" s="25" t="str">
        <f>IF(OR($B16="",'DATA ENTRY'!$T16="",'DATA ENTRY'!$U16="",'DATA ENTRY'!$U16&lt;=0),"",IFERROR('DATA ENTRY'!$T16/'DATA ENTRY'!$U16,""))</f>
        <v/>
      </c>
      <c r="U16" s="24" t="str">
        <f>IF($B16="","",IF(OR('DATA ENTRY'!$T16="",'DATA ENTRY'!$U16=""),"Not entered",IF('DATA ENTRY'!$U16&lt;=0,"High-risk",IF($T16&lt;=1,"Strong",IF($T16&lt;=1.5,"Adequate",IF($T16&lt;=2,"Caution","High-risk"))))))</f>
        <v/>
      </c>
      <c r="V16" s="23" t="str">
        <f>IF(OR($B16="",'DATA ENTRY'!$U16="",'DATA ENTRY'!$Q16=""),"",IFERROR('DATA ENTRY'!$U16/'DATA ENTRY'!$Q16,""))</f>
        <v/>
      </c>
      <c r="W16" s="24" t="str">
        <f t="shared" si="5"/>
        <v/>
      </c>
      <c r="X16" s="25" t="str">
        <f>IF(OR($B16="",'DATA ENTRY'!$G16="",'DATA ENTRY'!$M16=""),"",IF('DATA ENTRY'!$N16&lt;&gt;"",'DATA ENTRY'!$G16/AVERAGE('DATA ENTRY'!$M16,'DATA ENTRY'!$N16),IFERROR('DATA ENTRY'!$G16/'DATA ENTRY'!$M16,"")))</f>
        <v/>
      </c>
      <c r="Y16" s="26" t="str">
        <f t="shared" si="6"/>
        <v/>
      </c>
      <c r="Z16" s="24" t="str">
        <f t="shared" si="7"/>
        <v/>
      </c>
      <c r="AA16" s="25" t="str">
        <f>IF(OR($B16="",'DATA ENTRY'!$G16="",'DATA ENTRY'!$Q16=""),"",IFERROR('DATA ENTRY'!$G16/'DATA ENTRY'!$Q16,""))</f>
        <v/>
      </c>
      <c r="AB16" s="24" t="str">
        <f t="shared" si="8"/>
        <v/>
      </c>
      <c r="AC16" s="27" t="str">
        <f>IF(OR($B16="",'DATA ENTRY'!$K16="",'DATA ENTRY'!$R16=""),"",'DATA ENTRY'!$K16-'DATA ENTRY'!$R16)</f>
        <v/>
      </c>
      <c r="AD16" s="24" t="str">
        <f>IF($B16="","",IF($AC16="","Not entered",IF($AC16&lt;0,"High-risk",IF($AC16=0,"Caution",IF('DATA ENTRY'!$L16="","Adequate",IFERROR(IF('DATA ENTRY'!$L16/'DATA ENTRY'!$R16&gt;=0.25,"Strong","Adequate"),"Adequate"))))))</f>
        <v/>
      </c>
      <c r="AE16" s="25" t="str">
        <f>IF($B16="","",IF(OR('DATA ENTRY'!$W16="",'DATA ENTRY'!$W16=0),"N/A",IF('DATA ENTRY'!$V16="","",IFERROR('DATA ENTRY'!$V16/'DATA ENTRY'!$W16,""))))</f>
        <v/>
      </c>
      <c r="AF16" s="24" t="str">
        <f t="shared" si="9"/>
        <v/>
      </c>
      <c r="AG16" s="25" t="str">
        <f t="shared" si="10"/>
        <v/>
      </c>
      <c r="AH16" s="24" t="str">
        <f>IF($B16="","",IF(AND(ISNUMBER('DATA ENTRY'!$U16),'DATA ENTRY'!$U16&lt;=0),"Financially stretched",IF($AG16="","Insufficient data",IF(AND(ISNUMBER('DATA ENTRY'!$J16),'DATA ENTRY'!$J16&lt;0),IF($AG16&gt;=2,"Adequate with caution","Financially stretched"),IF($AG16&gt;=3.5,"Financially strong",IF($AG16&gt;=2.75,"Financially adequate",IF($AG16&gt;=2,"Adequate with caution","Financially stretched")))))))</f>
        <v/>
      </c>
      <c r="AI16" s="28" t="str">
        <f>IF($B16="","",IF(AND(ISNUMBER('DATA ENTRY'!$U16),'DATA ENTRY'!$U16&lt;=0),"Negative equity — possible insolvency",IF(AND(ISNUMBER('DATA ENTRY'!$J16),'DATA ENTRY'!$J16&lt;0),"Loss position",IF(AND(ISNUMBER($P16),$P16&lt;1),"Current liabilities exceed current assets",IF(AND(ISNUMBER($T16),$T16&gt;2),"High leverage",IF(AND(ISNUMBER($Y16),$Y16&gt;120),"Slow receivables collection",IF(AND(ISNUMBER($AC16),$AC16&lt;0),"Negative working capital",IF(OR('DATA ENTRY'!$E16="Unaudited",'DATA ENTRY'!$E16="Banker Letter Only",'DATA ENTRY'!$E16="Management Accounts"),"Statement status limits weight on ratios","No major red flag from entered ratios"))))))))</f>
        <v/>
      </c>
    </row>
    <row r="17" spans="1:35">
      <c r="A17" s="13" t="str">
        <f>IF('DATA ENTRY'!$B17&lt;&gt;"",'DATA ENTRY'!$A17,"")</f>
        <v/>
      </c>
      <c r="B17" s="13" t="str">
        <f>IF('DATA ENTRY'!$B17&lt;&gt;"",'DATA ENTRY'!$B17,"")</f>
        <v/>
      </c>
      <c r="C17" s="13" t="str">
        <f>IF('DATA ENTRY'!$B17&lt;&gt;"",'DATA ENTRY'!$C17,"")</f>
        <v/>
      </c>
      <c r="D17" s="13" t="str">
        <f>IF('DATA ENTRY'!$B17&lt;&gt;"",'DATA ENTRY'!$D17,"")</f>
        <v/>
      </c>
      <c r="E17" s="13" t="str">
        <f>IF('DATA ENTRY'!$B17&lt;&gt;"",'DATA ENTRY'!$E17,"")</f>
        <v/>
      </c>
      <c r="F17" s="13" t="str">
        <f>IF($B17="","",IF('DATA ENTRY'!$Y17="Yes","Checked",IF('DATA ENTRY'!$Y17="No","Needs check","Not marked")))</f>
        <v/>
      </c>
      <c r="G17" s="22" t="str">
        <f>IF($B17="","",IF('DATA ENTRY'!$I17&lt;&gt;"",'DATA ENTRY'!$I17,IF(AND('DATA ENTRY'!$G17&lt;&gt;"",'DATA ENTRY'!$H17&lt;&gt;""),'DATA ENTRY'!$G17-'DATA ENTRY'!$H17,"")))</f>
        <v/>
      </c>
      <c r="H17" s="23" t="str">
        <f>IF(OR($B17="",$G17="",'DATA ENTRY'!$G17=""),"",IFERROR($G17/'DATA ENTRY'!$G17,""))</f>
        <v/>
      </c>
      <c r="I17" s="24" t="str">
        <f t="shared" si="0"/>
        <v/>
      </c>
      <c r="J17" s="23" t="str">
        <f>IF(OR($B17="",'DATA ENTRY'!$J17="",'DATA ENTRY'!$G17=""),"",IFERROR('DATA ENTRY'!$J17/'DATA ENTRY'!$G17,""))</f>
        <v/>
      </c>
      <c r="K17" s="24" t="str">
        <f t="shared" si="1"/>
        <v/>
      </c>
      <c r="L17" s="23" t="str">
        <f>IF(OR($B17="",'DATA ENTRY'!$J17="",'DATA ENTRY'!$Q17=""),"",IFERROR('DATA ENTRY'!$J17/'DATA ENTRY'!$Q17,""))</f>
        <v/>
      </c>
      <c r="M17" s="24" t="str">
        <f t="shared" si="2"/>
        <v/>
      </c>
      <c r="N17" s="23" t="str">
        <f>IF(OR($B17="",'DATA ENTRY'!$J17="",'DATA ENTRY'!$U17="",'DATA ENTRY'!$U17&lt;=0),"",IFERROR('DATA ENTRY'!$J17/'DATA ENTRY'!$U17,""))</f>
        <v/>
      </c>
      <c r="O17" s="24" t="str">
        <f>IF($B17="","",IF(OR('DATA ENTRY'!$J17="",'DATA ENTRY'!$U17=""),"Not entered",IF('DATA ENTRY'!$U17&lt;=0,"High-risk",IF($N17&gt;=0.15,"Strong",IF($N17&gt;=0.08,"Adequate",IF($N17&gt;=0,"Caution","High-risk"))))))</f>
        <v/>
      </c>
      <c r="P17" s="25" t="str">
        <f>IF(OR($B17="",'DATA ENTRY'!$K17="",'DATA ENTRY'!$R17=""),"",IFERROR('DATA ENTRY'!$K17/'DATA ENTRY'!$R17,""))</f>
        <v/>
      </c>
      <c r="Q17" s="24" t="str">
        <f t="shared" si="3"/>
        <v/>
      </c>
      <c r="R17" s="25" t="str">
        <f>IF(OR($B17="",'DATA ENTRY'!$K17="",'DATA ENTRY'!$R17=""),"",IFERROR(('DATA ENTRY'!$K17-IF('DATA ENTRY'!$O17="",0,'DATA ENTRY'!$O17))/'DATA ENTRY'!$R17,""))</f>
        <v/>
      </c>
      <c r="S17" s="24" t="str">
        <f t="shared" si="4"/>
        <v/>
      </c>
      <c r="T17" s="25" t="str">
        <f>IF(OR($B17="",'DATA ENTRY'!$T17="",'DATA ENTRY'!$U17="",'DATA ENTRY'!$U17&lt;=0),"",IFERROR('DATA ENTRY'!$T17/'DATA ENTRY'!$U17,""))</f>
        <v/>
      </c>
      <c r="U17" s="24" t="str">
        <f>IF($B17="","",IF(OR('DATA ENTRY'!$T17="",'DATA ENTRY'!$U17=""),"Not entered",IF('DATA ENTRY'!$U17&lt;=0,"High-risk",IF($T17&lt;=1,"Strong",IF($T17&lt;=1.5,"Adequate",IF($T17&lt;=2,"Caution","High-risk"))))))</f>
        <v/>
      </c>
      <c r="V17" s="23" t="str">
        <f>IF(OR($B17="",'DATA ENTRY'!$U17="",'DATA ENTRY'!$Q17=""),"",IFERROR('DATA ENTRY'!$U17/'DATA ENTRY'!$Q17,""))</f>
        <v/>
      </c>
      <c r="W17" s="24" t="str">
        <f t="shared" si="5"/>
        <v/>
      </c>
      <c r="X17" s="25" t="str">
        <f>IF(OR($B17="",'DATA ENTRY'!$G17="",'DATA ENTRY'!$M17=""),"",IF('DATA ENTRY'!$N17&lt;&gt;"",'DATA ENTRY'!$G17/AVERAGE('DATA ENTRY'!$M17,'DATA ENTRY'!$N17),IFERROR('DATA ENTRY'!$G17/'DATA ENTRY'!$M17,"")))</f>
        <v/>
      </c>
      <c r="Y17" s="26" t="str">
        <f t="shared" si="6"/>
        <v/>
      </c>
      <c r="Z17" s="24" t="str">
        <f t="shared" si="7"/>
        <v/>
      </c>
      <c r="AA17" s="25" t="str">
        <f>IF(OR($B17="",'DATA ENTRY'!$G17="",'DATA ENTRY'!$Q17=""),"",IFERROR('DATA ENTRY'!$G17/'DATA ENTRY'!$Q17,""))</f>
        <v/>
      </c>
      <c r="AB17" s="24" t="str">
        <f t="shared" si="8"/>
        <v/>
      </c>
      <c r="AC17" s="27" t="str">
        <f>IF(OR($B17="",'DATA ENTRY'!$K17="",'DATA ENTRY'!$R17=""),"",'DATA ENTRY'!$K17-'DATA ENTRY'!$R17)</f>
        <v/>
      </c>
      <c r="AD17" s="24" t="str">
        <f>IF($B17="","",IF($AC17="","Not entered",IF($AC17&lt;0,"High-risk",IF($AC17=0,"Caution",IF('DATA ENTRY'!$L17="","Adequate",IFERROR(IF('DATA ENTRY'!$L17/'DATA ENTRY'!$R17&gt;=0.25,"Strong","Adequate"),"Adequate"))))))</f>
        <v/>
      </c>
      <c r="AE17" s="25" t="str">
        <f>IF($B17="","",IF(OR('DATA ENTRY'!$W17="",'DATA ENTRY'!$W17=0),"N/A",IF('DATA ENTRY'!$V17="","",IFERROR('DATA ENTRY'!$V17/'DATA ENTRY'!$W17,""))))</f>
        <v/>
      </c>
      <c r="AF17" s="24" t="str">
        <f t="shared" si="9"/>
        <v/>
      </c>
      <c r="AG17" s="25" t="str">
        <f t="shared" si="10"/>
        <v/>
      </c>
      <c r="AH17" s="24" t="str">
        <f>IF($B17="","",IF(AND(ISNUMBER('DATA ENTRY'!$U17),'DATA ENTRY'!$U17&lt;=0),"Financially stretched",IF($AG17="","Insufficient data",IF(AND(ISNUMBER('DATA ENTRY'!$J17),'DATA ENTRY'!$J17&lt;0),IF($AG17&gt;=2,"Adequate with caution","Financially stretched"),IF($AG17&gt;=3.5,"Financially strong",IF($AG17&gt;=2.75,"Financially adequate",IF($AG17&gt;=2,"Adequate with caution","Financially stretched")))))))</f>
        <v/>
      </c>
      <c r="AI17" s="28" t="str">
        <f>IF($B17="","",IF(AND(ISNUMBER('DATA ENTRY'!$U17),'DATA ENTRY'!$U17&lt;=0),"Negative equity — possible insolvency",IF(AND(ISNUMBER('DATA ENTRY'!$J17),'DATA ENTRY'!$J17&lt;0),"Loss position",IF(AND(ISNUMBER($P17),$P17&lt;1),"Current liabilities exceed current assets",IF(AND(ISNUMBER($T17),$T17&gt;2),"High leverage",IF(AND(ISNUMBER($Y17),$Y17&gt;120),"Slow receivables collection",IF(AND(ISNUMBER($AC17),$AC17&lt;0),"Negative working capital",IF(OR('DATA ENTRY'!$E17="Unaudited",'DATA ENTRY'!$E17="Banker Letter Only",'DATA ENTRY'!$E17="Management Accounts"),"Statement status limits weight on ratios","No major red flag from entered ratios"))))))))</f>
        <v/>
      </c>
    </row>
    <row r="18" spans="1:35">
      <c r="A18" s="13" t="str">
        <f>IF('DATA ENTRY'!$B18&lt;&gt;"",'DATA ENTRY'!$A18,"")</f>
        <v/>
      </c>
      <c r="B18" s="13" t="str">
        <f>IF('DATA ENTRY'!$B18&lt;&gt;"",'DATA ENTRY'!$B18,"")</f>
        <v/>
      </c>
      <c r="C18" s="13" t="str">
        <f>IF('DATA ENTRY'!$B18&lt;&gt;"",'DATA ENTRY'!$C18,"")</f>
        <v/>
      </c>
      <c r="D18" s="13" t="str">
        <f>IF('DATA ENTRY'!$B18&lt;&gt;"",'DATA ENTRY'!$D18,"")</f>
        <v/>
      </c>
      <c r="E18" s="13" t="str">
        <f>IF('DATA ENTRY'!$B18&lt;&gt;"",'DATA ENTRY'!$E18,"")</f>
        <v/>
      </c>
      <c r="F18" s="13" t="str">
        <f>IF($B18="","",IF('DATA ENTRY'!$Y18="Yes","Checked",IF('DATA ENTRY'!$Y18="No","Needs check","Not marked")))</f>
        <v/>
      </c>
      <c r="G18" s="22" t="str">
        <f>IF($B18="","",IF('DATA ENTRY'!$I18&lt;&gt;"",'DATA ENTRY'!$I18,IF(AND('DATA ENTRY'!$G18&lt;&gt;"",'DATA ENTRY'!$H18&lt;&gt;""),'DATA ENTRY'!$G18-'DATA ENTRY'!$H18,"")))</f>
        <v/>
      </c>
      <c r="H18" s="23" t="str">
        <f>IF(OR($B18="",$G18="",'DATA ENTRY'!$G18=""),"",IFERROR($G18/'DATA ENTRY'!$G18,""))</f>
        <v/>
      </c>
      <c r="I18" s="24" t="str">
        <f t="shared" si="0"/>
        <v/>
      </c>
      <c r="J18" s="23" t="str">
        <f>IF(OR($B18="",'DATA ENTRY'!$J18="",'DATA ENTRY'!$G18=""),"",IFERROR('DATA ENTRY'!$J18/'DATA ENTRY'!$G18,""))</f>
        <v/>
      </c>
      <c r="K18" s="24" t="str">
        <f t="shared" si="1"/>
        <v/>
      </c>
      <c r="L18" s="23" t="str">
        <f>IF(OR($B18="",'DATA ENTRY'!$J18="",'DATA ENTRY'!$Q18=""),"",IFERROR('DATA ENTRY'!$J18/'DATA ENTRY'!$Q18,""))</f>
        <v/>
      </c>
      <c r="M18" s="24" t="str">
        <f t="shared" si="2"/>
        <v/>
      </c>
      <c r="N18" s="23" t="str">
        <f>IF(OR($B18="",'DATA ENTRY'!$J18="",'DATA ENTRY'!$U18="",'DATA ENTRY'!$U18&lt;=0),"",IFERROR('DATA ENTRY'!$J18/'DATA ENTRY'!$U18,""))</f>
        <v/>
      </c>
      <c r="O18" s="24" t="str">
        <f>IF($B18="","",IF(OR('DATA ENTRY'!$J18="",'DATA ENTRY'!$U18=""),"Not entered",IF('DATA ENTRY'!$U18&lt;=0,"High-risk",IF($N18&gt;=0.15,"Strong",IF($N18&gt;=0.08,"Adequate",IF($N18&gt;=0,"Caution","High-risk"))))))</f>
        <v/>
      </c>
      <c r="P18" s="25" t="str">
        <f>IF(OR($B18="",'DATA ENTRY'!$K18="",'DATA ENTRY'!$R18=""),"",IFERROR('DATA ENTRY'!$K18/'DATA ENTRY'!$R18,""))</f>
        <v/>
      </c>
      <c r="Q18" s="24" t="str">
        <f t="shared" si="3"/>
        <v/>
      </c>
      <c r="R18" s="25" t="str">
        <f>IF(OR($B18="",'DATA ENTRY'!$K18="",'DATA ENTRY'!$R18=""),"",IFERROR(('DATA ENTRY'!$K18-IF('DATA ENTRY'!$O18="",0,'DATA ENTRY'!$O18))/'DATA ENTRY'!$R18,""))</f>
        <v/>
      </c>
      <c r="S18" s="24" t="str">
        <f t="shared" si="4"/>
        <v/>
      </c>
      <c r="T18" s="25" t="str">
        <f>IF(OR($B18="",'DATA ENTRY'!$T18="",'DATA ENTRY'!$U18="",'DATA ENTRY'!$U18&lt;=0),"",IFERROR('DATA ENTRY'!$T18/'DATA ENTRY'!$U18,""))</f>
        <v/>
      </c>
      <c r="U18" s="24" t="str">
        <f>IF($B18="","",IF(OR('DATA ENTRY'!$T18="",'DATA ENTRY'!$U18=""),"Not entered",IF('DATA ENTRY'!$U18&lt;=0,"High-risk",IF($T18&lt;=1,"Strong",IF($T18&lt;=1.5,"Adequate",IF($T18&lt;=2,"Caution","High-risk"))))))</f>
        <v/>
      </c>
      <c r="V18" s="23" t="str">
        <f>IF(OR($B18="",'DATA ENTRY'!$U18="",'DATA ENTRY'!$Q18=""),"",IFERROR('DATA ENTRY'!$U18/'DATA ENTRY'!$Q18,""))</f>
        <v/>
      </c>
      <c r="W18" s="24" t="str">
        <f t="shared" si="5"/>
        <v/>
      </c>
      <c r="X18" s="25" t="str">
        <f>IF(OR($B18="",'DATA ENTRY'!$G18="",'DATA ENTRY'!$M18=""),"",IF('DATA ENTRY'!$N18&lt;&gt;"",'DATA ENTRY'!$G18/AVERAGE('DATA ENTRY'!$M18,'DATA ENTRY'!$N18),IFERROR('DATA ENTRY'!$G18/'DATA ENTRY'!$M18,"")))</f>
        <v/>
      </c>
      <c r="Y18" s="26" t="str">
        <f t="shared" si="6"/>
        <v/>
      </c>
      <c r="Z18" s="24" t="str">
        <f t="shared" si="7"/>
        <v/>
      </c>
      <c r="AA18" s="25" t="str">
        <f>IF(OR($B18="",'DATA ENTRY'!$G18="",'DATA ENTRY'!$Q18=""),"",IFERROR('DATA ENTRY'!$G18/'DATA ENTRY'!$Q18,""))</f>
        <v/>
      </c>
      <c r="AB18" s="24" t="str">
        <f t="shared" si="8"/>
        <v/>
      </c>
      <c r="AC18" s="27" t="str">
        <f>IF(OR($B18="",'DATA ENTRY'!$K18="",'DATA ENTRY'!$R18=""),"",'DATA ENTRY'!$K18-'DATA ENTRY'!$R18)</f>
        <v/>
      </c>
      <c r="AD18" s="24" t="str">
        <f>IF($B18="","",IF($AC18="","Not entered",IF($AC18&lt;0,"High-risk",IF($AC18=0,"Caution",IF('DATA ENTRY'!$L18="","Adequate",IFERROR(IF('DATA ENTRY'!$L18/'DATA ENTRY'!$R18&gt;=0.25,"Strong","Adequate"),"Adequate"))))))</f>
        <v/>
      </c>
      <c r="AE18" s="25" t="str">
        <f>IF($B18="","",IF(OR('DATA ENTRY'!$W18="",'DATA ENTRY'!$W18=0),"N/A",IF('DATA ENTRY'!$V18="","",IFERROR('DATA ENTRY'!$V18/'DATA ENTRY'!$W18,""))))</f>
        <v/>
      </c>
      <c r="AF18" s="24" t="str">
        <f t="shared" si="9"/>
        <v/>
      </c>
      <c r="AG18" s="25" t="str">
        <f t="shared" si="10"/>
        <v/>
      </c>
      <c r="AH18" s="24" t="str">
        <f>IF($B18="","",IF(AND(ISNUMBER('DATA ENTRY'!$U18),'DATA ENTRY'!$U18&lt;=0),"Financially stretched",IF($AG18="","Insufficient data",IF(AND(ISNUMBER('DATA ENTRY'!$J18),'DATA ENTRY'!$J18&lt;0),IF($AG18&gt;=2,"Adequate with caution","Financially stretched"),IF($AG18&gt;=3.5,"Financially strong",IF($AG18&gt;=2.75,"Financially adequate",IF($AG18&gt;=2,"Adequate with caution","Financially stretched")))))))</f>
        <v/>
      </c>
      <c r="AI18" s="28" t="str">
        <f>IF($B18="","",IF(AND(ISNUMBER('DATA ENTRY'!$U18),'DATA ENTRY'!$U18&lt;=0),"Negative equity — possible insolvency",IF(AND(ISNUMBER('DATA ENTRY'!$J18),'DATA ENTRY'!$J18&lt;0),"Loss position",IF(AND(ISNUMBER($P18),$P18&lt;1),"Current liabilities exceed current assets",IF(AND(ISNUMBER($T18),$T18&gt;2),"High leverage",IF(AND(ISNUMBER($Y18),$Y18&gt;120),"Slow receivables collection",IF(AND(ISNUMBER($AC18),$AC18&lt;0),"Negative working capital",IF(OR('DATA ENTRY'!$E18="Unaudited",'DATA ENTRY'!$E18="Banker Letter Only",'DATA ENTRY'!$E18="Management Accounts"),"Statement status limits weight on ratios","No major red flag from entered ratios"))))))))</f>
        <v/>
      </c>
    </row>
    <row r="19" spans="1:35">
      <c r="A19" s="13" t="str">
        <f>IF('DATA ENTRY'!$B19&lt;&gt;"",'DATA ENTRY'!$A19,"")</f>
        <v/>
      </c>
      <c r="B19" s="13" t="str">
        <f>IF('DATA ENTRY'!$B19&lt;&gt;"",'DATA ENTRY'!$B19,"")</f>
        <v/>
      </c>
      <c r="C19" s="13" t="str">
        <f>IF('DATA ENTRY'!$B19&lt;&gt;"",'DATA ENTRY'!$C19,"")</f>
        <v/>
      </c>
      <c r="D19" s="13" t="str">
        <f>IF('DATA ENTRY'!$B19&lt;&gt;"",'DATA ENTRY'!$D19,"")</f>
        <v/>
      </c>
      <c r="E19" s="13" t="str">
        <f>IF('DATA ENTRY'!$B19&lt;&gt;"",'DATA ENTRY'!$E19,"")</f>
        <v/>
      </c>
      <c r="F19" s="13" t="str">
        <f>IF($B19="","",IF('DATA ENTRY'!$Y19="Yes","Checked",IF('DATA ENTRY'!$Y19="No","Needs check","Not marked")))</f>
        <v/>
      </c>
      <c r="G19" s="22" t="str">
        <f>IF($B19="","",IF('DATA ENTRY'!$I19&lt;&gt;"",'DATA ENTRY'!$I19,IF(AND('DATA ENTRY'!$G19&lt;&gt;"",'DATA ENTRY'!$H19&lt;&gt;""),'DATA ENTRY'!$G19-'DATA ENTRY'!$H19,"")))</f>
        <v/>
      </c>
      <c r="H19" s="23" t="str">
        <f>IF(OR($B19="",$G19="",'DATA ENTRY'!$G19=""),"",IFERROR($G19/'DATA ENTRY'!$G19,""))</f>
        <v/>
      </c>
      <c r="I19" s="24" t="str">
        <f t="shared" si="0"/>
        <v/>
      </c>
      <c r="J19" s="23" t="str">
        <f>IF(OR($B19="",'DATA ENTRY'!$J19="",'DATA ENTRY'!$G19=""),"",IFERROR('DATA ENTRY'!$J19/'DATA ENTRY'!$G19,""))</f>
        <v/>
      </c>
      <c r="K19" s="24" t="str">
        <f t="shared" si="1"/>
        <v/>
      </c>
      <c r="L19" s="23" t="str">
        <f>IF(OR($B19="",'DATA ENTRY'!$J19="",'DATA ENTRY'!$Q19=""),"",IFERROR('DATA ENTRY'!$J19/'DATA ENTRY'!$Q19,""))</f>
        <v/>
      </c>
      <c r="M19" s="24" t="str">
        <f t="shared" si="2"/>
        <v/>
      </c>
      <c r="N19" s="23" t="str">
        <f>IF(OR($B19="",'DATA ENTRY'!$J19="",'DATA ENTRY'!$U19="",'DATA ENTRY'!$U19&lt;=0),"",IFERROR('DATA ENTRY'!$J19/'DATA ENTRY'!$U19,""))</f>
        <v/>
      </c>
      <c r="O19" s="24" t="str">
        <f>IF($B19="","",IF(OR('DATA ENTRY'!$J19="",'DATA ENTRY'!$U19=""),"Not entered",IF('DATA ENTRY'!$U19&lt;=0,"High-risk",IF($N19&gt;=0.15,"Strong",IF($N19&gt;=0.08,"Adequate",IF($N19&gt;=0,"Caution","High-risk"))))))</f>
        <v/>
      </c>
      <c r="P19" s="25" t="str">
        <f>IF(OR($B19="",'DATA ENTRY'!$K19="",'DATA ENTRY'!$R19=""),"",IFERROR('DATA ENTRY'!$K19/'DATA ENTRY'!$R19,""))</f>
        <v/>
      </c>
      <c r="Q19" s="24" t="str">
        <f t="shared" si="3"/>
        <v/>
      </c>
      <c r="R19" s="25" t="str">
        <f>IF(OR($B19="",'DATA ENTRY'!$K19="",'DATA ENTRY'!$R19=""),"",IFERROR(('DATA ENTRY'!$K19-IF('DATA ENTRY'!$O19="",0,'DATA ENTRY'!$O19))/'DATA ENTRY'!$R19,""))</f>
        <v/>
      </c>
      <c r="S19" s="24" t="str">
        <f t="shared" si="4"/>
        <v/>
      </c>
      <c r="T19" s="25" t="str">
        <f>IF(OR($B19="",'DATA ENTRY'!$T19="",'DATA ENTRY'!$U19="",'DATA ENTRY'!$U19&lt;=0),"",IFERROR('DATA ENTRY'!$T19/'DATA ENTRY'!$U19,""))</f>
        <v/>
      </c>
      <c r="U19" s="24" t="str">
        <f>IF($B19="","",IF(OR('DATA ENTRY'!$T19="",'DATA ENTRY'!$U19=""),"Not entered",IF('DATA ENTRY'!$U19&lt;=0,"High-risk",IF($T19&lt;=1,"Strong",IF($T19&lt;=1.5,"Adequate",IF($T19&lt;=2,"Caution","High-risk"))))))</f>
        <v/>
      </c>
      <c r="V19" s="23" t="str">
        <f>IF(OR($B19="",'DATA ENTRY'!$U19="",'DATA ENTRY'!$Q19=""),"",IFERROR('DATA ENTRY'!$U19/'DATA ENTRY'!$Q19,""))</f>
        <v/>
      </c>
      <c r="W19" s="24" t="str">
        <f t="shared" si="5"/>
        <v/>
      </c>
      <c r="X19" s="25" t="str">
        <f>IF(OR($B19="",'DATA ENTRY'!$G19="",'DATA ENTRY'!$M19=""),"",IF('DATA ENTRY'!$N19&lt;&gt;"",'DATA ENTRY'!$G19/AVERAGE('DATA ENTRY'!$M19,'DATA ENTRY'!$N19),IFERROR('DATA ENTRY'!$G19/'DATA ENTRY'!$M19,"")))</f>
        <v/>
      </c>
      <c r="Y19" s="26" t="str">
        <f t="shared" si="6"/>
        <v/>
      </c>
      <c r="Z19" s="24" t="str">
        <f t="shared" si="7"/>
        <v/>
      </c>
      <c r="AA19" s="25" t="str">
        <f>IF(OR($B19="",'DATA ENTRY'!$G19="",'DATA ENTRY'!$Q19=""),"",IFERROR('DATA ENTRY'!$G19/'DATA ENTRY'!$Q19,""))</f>
        <v/>
      </c>
      <c r="AB19" s="24" t="str">
        <f t="shared" si="8"/>
        <v/>
      </c>
      <c r="AC19" s="27" t="str">
        <f>IF(OR($B19="",'DATA ENTRY'!$K19="",'DATA ENTRY'!$R19=""),"",'DATA ENTRY'!$K19-'DATA ENTRY'!$R19)</f>
        <v/>
      </c>
      <c r="AD19" s="24" t="str">
        <f>IF($B19="","",IF($AC19="","Not entered",IF($AC19&lt;0,"High-risk",IF($AC19=0,"Caution",IF('DATA ENTRY'!$L19="","Adequate",IFERROR(IF('DATA ENTRY'!$L19/'DATA ENTRY'!$R19&gt;=0.25,"Strong","Adequate"),"Adequate"))))))</f>
        <v/>
      </c>
      <c r="AE19" s="25" t="str">
        <f>IF($B19="","",IF(OR('DATA ENTRY'!$W19="",'DATA ENTRY'!$W19=0),"N/A",IF('DATA ENTRY'!$V19="","",IFERROR('DATA ENTRY'!$V19/'DATA ENTRY'!$W19,""))))</f>
        <v/>
      </c>
      <c r="AF19" s="24" t="str">
        <f t="shared" si="9"/>
        <v/>
      </c>
      <c r="AG19" s="25" t="str">
        <f t="shared" si="10"/>
        <v/>
      </c>
      <c r="AH19" s="24" t="str">
        <f>IF($B19="","",IF(AND(ISNUMBER('DATA ENTRY'!$U19),'DATA ENTRY'!$U19&lt;=0),"Financially stretched",IF($AG19="","Insufficient data",IF(AND(ISNUMBER('DATA ENTRY'!$J19),'DATA ENTRY'!$J19&lt;0),IF($AG19&gt;=2,"Adequate with caution","Financially stretched"),IF($AG19&gt;=3.5,"Financially strong",IF($AG19&gt;=2.75,"Financially adequate",IF($AG19&gt;=2,"Adequate with caution","Financially stretched")))))))</f>
        <v/>
      </c>
      <c r="AI19" s="28" t="str">
        <f>IF($B19="","",IF(AND(ISNUMBER('DATA ENTRY'!$U19),'DATA ENTRY'!$U19&lt;=0),"Negative equity — possible insolvency",IF(AND(ISNUMBER('DATA ENTRY'!$J19),'DATA ENTRY'!$J19&lt;0),"Loss position",IF(AND(ISNUMBER($P19),$P19&lt;1),"Current liabilities exceed current assets",IF(AND(ISNUMBER($T19),$T19&gt;2),"High leverage",IF(AND(ISNUMBER($Y19),$Y19&gt;120),"Slow receivables collection",IF(AND(ISNUMBER($AC19),$AC19&lt;0),"Negative working capital",IF(OR('DATA ENTRY'!$E19="Unaudited",'DATA ENTRY'!$E19="Banker Letter Only",'DATA ENTRY'!$E19="Management Accounts"),"Statement status limits weight on ratios","No major red flag from entered ratios"))))))))</f>
        <v/>
      </c>
    </row>
    <row r="20" spans="1:35">
      <c r="A20" s="13" t="str">
        <f>IF('DATA ENTRY'!$B20&lt;&gt;"",'DATA ENTRY'!$A20,"")</f>
        <v/>
      </c>
      <c r="B20" s="13" t="str">
        <f>IF('DATA ENTRY'!$B20&lt;&gt;"",'DATA ENTRY'!$B20,"")</f>
        <v/>
      </c>
      <c r="C20" s="13" t="str">
        <f>IF('DATA ENTRY'!$B20&lt;&gt;"",'DATA ENTRY'!$C20,"")</f>
        <v/>
      </c>
      <c r="D20" s="13" t="str">
        <f>IF('DATA ENTRY'!$B20&lt;&gt;"",'DATA ENTRY'!$D20,"")</f>
        <v/>
      </c>
      <c r="E20" s="13" t="str">
        <f>IF('DATA ENTRY'!$B20&lt;&gt;"",'DATA ENTRY'!$E20,"")</f>
        <v/>
      </c>
      <c r="F20" s="13" t="str">
        <f>IF($B20="","",IF('DATA ENTRY'!$Y20="Yes","Checked",IF('DATA ENTRY'!$Y20="No","Needs check","Not marked")))</f>
        <v/>
      </c>
      <c r="G20" s="22" t="str">
        <f>IF($B20="","",IF('DATA ENTRY'!$I20&lt;&gt;"",'DATA ENTRY'!$I20,IF(AND('DATA ENTRY'!$G20&lt;&gt;"",'DATA ENTRY'!$H20&lt;&gt;""),'DATA ENTRY'!$G20-'DATA ENTRY'!$H20,"")))</f>
        <v/>
      </c>
      <c r="H20" s="23" t="str">
        <f>IF(OR($B20="",$G20="",'DATA ENTRY'!$G20=""),"",IFERROR($G20/'DATA ENTRY'!$G20,""))</f>
        <v/>
      </c>
      <c r="I20" s="24" t="str">
        <f t="shared" si="0"/>
        <v/>
      </c>
      <c r="J20" s="23" t="str">
        <f>IF(OR($B20="",'DATA ENTRY'!$J20="",'DATA ENTRY'!$G20=""),"",IFERROR('DATA ENTRY'!$J20/'DATA ENTRY'!$G20,""))</f>
        <v/>
      </c>
      <c r="K20" s="24" t="str">
        <f t="shared" si="1"/>
        <v/>
      </c>
      <c r="L20" s="23" t="str">
        <f>IF(OR($B20="",'DATA ENTRY'!$J20="",'DATA ENTRY'!$Q20=""),"",IFERROR('DATA ENTRY'!$J20/'DATA ENTRY'!$Q20,""))</f>
        <v/>
      </c>
      <c r="M20" s="24" t="str">
        <f t="shared" si="2"/>
        <v/>
      </c>
      <c r="N20" s="23" t="str">
        <f>IF(OR($B20="",'DATA ENTRY'!$J20="",'DATA ENTRY'!$U20="",'DATA ENTRY'!$U20&lt;=0),"",IFERROR('DATA ENTRY'!$J20/'DATA ENTRY'!$U20,""))</f>
        <v/>
      </c>
      <c r="O20" s="24" t="str">
        <f>IF($B20="","",IF(OR('DATA ENTRY'!$J20="",'DATA ENTRY'!$U20=""),"Not entered",IF('DATA ENTRY'!$U20&lt;=0,"High-risk",IF($N20&gt;=0.15,"Strong",IF($N20&gt;=0.08,"Adequate",IF($N20&gt;=0,"Caution","High-risk"))))))</f>
        <v/>
      </c>
      <c r="P20" s="25" t="str">
        <f>IF(OR($B20="",'DATA ENTRY'!$K20="",'DATA ENTRY'!$R20=""),"",IFERROR('DATA ENTRY'!$K20/'DATA ENTRY'!$R20,""))</f>
        <v/>
      </c>
      <c r="Q20" s="24" t="str">
        <f t="shared" si="3"/>
        <v/>
      </c>
      <c r="R20" s="25" t="str">
        <f>IF(OR($B20="",'DATA ENTRY'!$K20="",'DATA ENTRY'!$R20=""),"",IFERROR(('DATA ENTRY'!$K20-IF('DATA ENTRY'!$O20="",0,'DATA ENTRY'!$O20))/'DATA ENTRY'!$R20,""))</f>
        <v/>
      </c>
      <c r="S20" s="24" t="str">
        <f t="shared" si="4"/>
        <v/>
      </c>
      <c r="T20" s="25" t="str">
        <f>IF(OR($B20="",'DATA ENTRY'!$T20="",'DATA ENTRY'!$U20="",'DATA ENTRY'!$U20&lt;=0),"",IFERROR('DATA ENTRY'!$T20/'DATA ENTRY'!$U20,""))</f>
        <v/>
      </c>
      <c r="U20" s="24" t="str">
        <f>IF($B20="","",IF(OR('DATA ENTRY'!$T20="",'DATA ENTRY'!$U20=""),"Not entered",IF('DATA ENTRY'!$U20&lt;=0,"High-risk",IF($T20&lt;=1,"Strong",IF($T20&lt;=1.5,"Adequate",IF($T20&lt;=2,"Caution","High-risk"))))))</f>
        <v/>
      </c>
      <c r="V20" s="23" t="str">
        <f>IF(OR($B20="",'DATA ENTRY'!$U20="",'DATA ENTRY'!$Q20=""),"",IFERROR('DATA ENTRY'!$U20/'DATA ENTRY'!$Q20,""))</f>
        <v/>
      </c>
      <c r="W20" s="24" t="str">
        <f t="shared" si="5"/>
        <v/>
      </c>
      <c r="X20" s="25" t="str">
        <f>IF(OR($B20="",'DATA ENTRY'!$G20="",'DATA ENTRY'!$M20=""),"",IF('DATA ENTRY'!$N20&lt;&gt;"",'DATA ENTRY'!$G20/AVERAGE('DATA ENTRY'!$M20,'DATA ENTRY'!$N20),IFERROR('DATA ENTRY'!$G20/'DATA ENTRY'!$M20,"")))</f>
        <v/>
      </c>
      <c r="Y20" s="26" t="str">
        <f t="shared" si="6"/>
        <v/>
      </c>
      <c r="Z20" s="24" t="str">
        <f t="shared" si="7"/>
        <v/>
      </c>
      <c r="AA20" s="25" t="str">
        <f>IF(OR($B20="",'DATA ENTRY'!$G20="",'DATA ENTRY'!$Q20=""),"",IFERROR('DATA ENTRY'!$G20/'DATA ENTRY'!$Q20,""))</f>
        <v/>
      </c>
      <c r="AB20" s="24" t="str">
        <f t="shared" si="8"/>
        <v/>
      </c>
      <c r="AC20" s="27" t="str">
        <f>IF(OR($B20="",'DATA ENTRY'!$K20="",'DATA ENTRY'!$R20=""),"",'DATA ENTRY'!$K20-'DATA ENTRY'!$R20)</f>
        <v/>
      </c>
      <c r="AD20" s="24" t="str">
        <f>IF($B20="","",IF($AC20="","Not entered",IF($AC20&lt;0,"High-risk",IF($AC20=0,"Caution",IF('DATA ENTRY'!$L20="","Adequate",IFERROR(IF('DATA ENTRY'!$L20/'DATA ENTRY'!$R20&gt;=0.25,"Strong","Adequate"),"Adequate"))))))</f>
        <v/>
      </c>
      <c r="AE20" s="25" t="str">
        <f>IF($B20="","",IF(OR('DATA ENTRY'!$W20="",'DATA ENTRY'!$W20=0),"N/A",IF('DATA ENTRY'!$V20="","",IFERROR('DATA ENTRY'!$V20/'DATA ENTRY'!$W20,""))))</f>
        <v/>
      </c>
      <c r="AF20" s="24" t="str">
        <f t="shared" si="9"/>
        <v/>
      </c>
      <c r="AG20" s="25" t="str">
        <f t="shared" si="10"/>
        <v/>
      </c>
      <c r="AH20" s="24" t="str">
        <f>IF($B20="","",IF(AND(ISNUMBER('DATA ENTRY'!$U20),'DATA ENTRY'!$U20&lt;=0),"Financially stretched",IF($AG20="","Insufficient data",IF(AND(ISNUMBER('DATA ENTRY'!$J20),'DATA ENTRY'!$J20&lt;0),IF($AG20&gt;=2,"Adequate with caution","Financially stretched"),IF($AG20&gt;=3.5,"Financially strong",IF($AG20&gt;=2.75,"Financially adequate",IF($AG20&gt;=2,"Adequate with caution","Financially stretched")))))))</f>
        <v/>
      </c>
      <c r="AI20" s="28" t="str">
        <f>IF($B20="","",IF(AND(ISNUMBER('DATA ENTRY'!$U20),'DATA ENTRY'!$U20&lt;=0),"Negative equity — possible insolvency",IF(AND(ISNUMBER('DATA ENTRY'!$J20),'DATA ENTRY'!$J20&lt;0),"Loss position",IF(AND(ISNUMBER($P20),$P20&lt;1),"Current liabilities exceed current assets",IF(AND(ISNUMBER($T20),$T20&gt;2),"High leverage",IF(AND(ISNUMBER($Y20),$Y20&gt;120),"Slow receivables collection",IF(AND(ISNUMBER($AC20),$AC20&lt;0),"Negative working capital",IF(OR('DATA ENTRY'!$E20="Unaudited",'DATA ENTRY'!$E20="Banker Letter Only",'DATA ENTRY'!$E20="Management Accounts"),"Statement status limits weight on ratios","No major red flag from entered ratios"))))))))</f>
        <v/>
      </c>
    </row>
    <row r="21" spans="1:35">
      <c r="A21" s="13" t="str">
        <f>IF('DATA ENTRY'!$B21&lt;&gt;"",'DATA ENTRY'!$A21,"")</f>
        <v/>
      </c>
      <c r="B21" s="13" t="str">
        <f>IF('DATA ENTRY'!$B21&lt;&gt;"",'DATA ENTRY'!$B21,"")</f>
        <v/>
      </c>
      <c r="C21" s="13" t="str">
        <f>IF('DATA ENTRY'!$B21&lt;&gt;"",'DATA ENTRY'!$C21,"")</f>
        <v/>
      </c>
      <c r="D21" s="13" t="str">
        <f>IF('DATA ENTRY'!$B21&lt;&gt;"",'DATA ENTRY'!$D21,"")</f>
        <v/>
      </c>
      <c r="E21" s="13" t="str">
        <f>IF('DATA ENTRY'!$B21&lt;&gt;"",'DATA ENTRY'!$E21,"")</f>
        <v/>
      </c>
      <c r="F21" s="13" t="str">
        <f>IF($B21="","",IF('DATA ENTRY'!$Y21="Yes","Checked",IF('DATA ENTRY'!$Y21="No","Needs check","Not marked")))</f>
        <v/>
      </c>
      <c r="G21" s="22" t="str">
        <f>IF($B21="","",IF('DATA ENTRY'!$I21&lt;&gt;"",'DATA ENTRY'!$I21,IF(AND('DATA ENTRY'!$G21&lt;&gt;"",'DATA ENTRY'!$H21&lt;&gt;""),'DATA ENTRY'!$G21-'DATA ENTRY'!$H21,"")))</f>
        <v/>
      </c>
      <c r="H21" s="23" t="str">
        <f>IF(OR($B21="",$G21="",'DATA ENTRY'!$G21=""),"",IFERROR($G21/'DATA ENTRY'!$G21,""))</f>
        <v/>
      </c>
      <c r="I21" s="24" t="str">
        <f t="shared" si="0"/>
        <v/>
      </c>
      <c r="J21" s="23" t="str">
        <f>IF(OR($B21="",'DATA ENTRY'!$J21="",'DATA ENTRY'!$G21=""),"",IFERROR('DATA ENTRY'!$J21/'DATA ENTRY'!$G21,""))</f>
        <v/>
      </c>
      <c r="K21" s="24" t="str">
        <f t="shared" si="1"/>
        <v/>
      </c>
      <c r="L21" s="23" t="str">
        <f>IF(OR($B21="",'DATA ENTRY'!$J21="",'DATA ENTRY'!$Q21=""),"",IFERROR('DATA ENTRY'!$J21/'DATA ENTRY'!$Q21,""))</f>
        <v/>
      </c>
      <c r="M21" s="24" t="str">
        <f t="shared" si="2"/>
        <v/>
      </c>
      <c r="N21" s="23" t="str">
        <f>IF(OR($B21="",'DATA ENTRY'!$J21="",'DATA ENTRY'!$U21="",'DATA ENTRY'!$U21&lt;=0),"",IFERROR('DATA ENTRY'!$J21/'DATA ENTRY'!$U21,""))</f>
        <v/>
      </c>
      <c r="O21" s="24" t="str">
        <f>IF($B21="","",IF(OR('DATA ENTRY'!$J21="",'DATA ENTRY'!$U21=""),"Not entered",IF('DATA ENTRY'!$U21&lt;=0,"High-risk",IF($N21&gt;=0.15,"Strong",IF($N21&gt;=0.08,"Adequate",IF($N21&gt;=0,"Caution","High-risk"))))))</f>
        <v/>
      </c>
      <c r="P21" s="25" t="str">
        <f>IF(OR($B21="",'DATA ENTRY'!$K21="",'DATA ENTRY'!$R21=""),"",IFERROR('DATA ENTRY'!$K21/'DATA ENTRY'!$R21,""))</f>
        <v/>
      </c>
      <c r="Q21" s="24" t="str">
        <f t="shared" si="3"/>
        <v/>
      </c>
      <c r="R21" s="25" t="str">
        <f>IF(OR($B21="",'DATA ENTRY'!$K21="",'DATA ENTRY'!$R21=""),"",IFERROR(('DATA ENTRY'!$K21-IF('DATA ENTRY'!$O21="",0,'DATA ENTRY'!$O21))/'DATA ENTRY'!$R21,""))</f>
        <v/>
      </c>
      <c r="S21" s="24" t="str">
        <f t="shared" si="4"/>
        <v/>
      </c>
      <c r="T21" s="25" t="str">
        <f>IF(OR($B21="",'DATA ENTRY'!$T21="",'DATA ENTRY'!$U21="",'DATA ENTRY'!$U21&lt;=0),"",IFERROR('DATA ENTRY'!$T21/'DATA ENTRY'!$U21,""))</f>
        <v/>
      </c>
      <c r="U21" s="24" t="str">
        <f>IF($B21="","",IF(OR('DATA ENTRY'!$T21="",'DATA ENTRY'!$U21=""),"Not entered",IF('DATA ENTRY'!$U21&lt;=0,"High-risk",IF($T21&lt;=1,"Strong",IF($T21&lt;=1.5,"Adequate",IF($T21&lt;=2,"Caution","High-risk"))))))</f>
        <v/>
      </c>
      <c r="V21" s="23" t="str">
        <f>IF(OR($B21="",'DATA ENTRY'!$U21="",'DATA ENTRY'!$Q21=""),"",IFERROR('DATA ENTRY'!$U21/'DATA ENTRY'!$Q21,""))</f>
        <v/>
      </c>
      <c r="W21" s="24" t="str">
        <f t="shared" si="5"/>
        <v/>
      </c>
      <c r="X21" s="25" t="str">
        <f>IF(OR($B21="",'DATA ENTRY'!$G21="",'DATA ENTRY'!$M21=""),"",IF('DATA ENTRY'!$N21&lt;&gt;"",'DATA ENTRY'!$G21/AVERAGE('DATA ENTRY'!$M21,'DATA ENTRY'!$N21),IFERROR('DATA ENTRY'!$G21/'DATA ENTRY'!$M21,"")))</f>
        <v/>
      </c>
      <c r="Y21" s="26" t="str">
        <f t="shared" si="6"/>
        <v/>
      </c>
      <c r="Z21" s="24" t="str">
        <f t="shared" si="7"/>
        <v/>
      </c>
      <c r="AA21" s="25" t="str">
        <f>IF(OR($B21="",'DATA ENTRY'!$G21="",'DATA ENTRY'!$Q21=""),"",IFERROR('DATA ENTRY'!$G21/'DATA ENTRY'!$Q21,""))</f>
        <v/>
      </c>
      <c r="AB21" s="24" t="str">
        <f t="shared" si="8"/>
        <v/>
      </c>
      <c r="AC21" s="27" t="str">
        <f>IF(OR($B21="",'DATA ENTRY'!$K21="",'DATA ENTRY'!$R21=""),"",'DATA ENTRY'!$K21-'DATA ENTRY'!$R21)</f>
        <v/>
      </c>
      <c r="AD21" s="24" t="str">
        <f>IF($B21="","",IF($AC21="","Not entered",IF($AC21&lt;0,"High-risk",IF($AC21=0,"Caution",IF('DATA ENTRY'!$L21="","Adequate",IFERROR(IF('DATA ENTRY'!$L21/'DATA ENTRY'!$R21&gt;=0.25,"Strong","Adequate"),"Adequate"))))))</f>
        <v/>
      </c>
      <c r="AE21" s="25" t="str">
        <f>IF($B21="","",IF(OR('DATA ENTRY'!$W21="",'DATA ENTRY'!$W21=0),"N/A",IF('DATA ENTRY'!$V21="","",IFERROR('DATA ENTRY'!$V21/'DATA ENTRY'!$W21,""))))</f>
        <v/>
      </c>
      <c r="AF21" s="24" t="str">
        <f t="shared" si="9"/>
        <v/>
      </c>
      <c r="AG21" s="25" t="str">
        <f t="shared" si="10"/>
        <v/>
      </c>
      <c r="AH21" s="24" t="str">
        <f>IF($B21="","",IF(AND(ISNUMBER('DATA ENTRY'!$U21),'DATA ENTRY'!$U21&lt;=0),"Financially stretched",IF($AG21="","Insufficient data",IF(AND(ISNUMBER('DATA ENTRY'!$J21),'DATA ENTRY'!$J21&lt;0),IF($AG21&gt;=2,"Adequate with caution","Financially stretched"),IF($AG21&gt;=3.5,"Financially strong",IF($AG21&gt;=2.75,"Financially adequate",IF($AG21&gt;=2,"Adequate with caution","Financially stretched")))))))</f>
        <v/>
      </c>
      <c r="AI21" s="28" t="str">
        <f>IF($B21="","",IF(AND(ISNUMBER('DATA ENTRY'!$U21),'DATA ENTRY'!$U21&lt;=0),"Negative equity — possible insolvency",IF(AND(ISNUMBER('DATA ENTRY'!$J21),'DATA ENTRY'!$J21&lt;0),"Loss position",IF(AND(ISNUMBER($P21),$P21&lt;1),"Current liabilities exceed current assets",IF(AND(ISNUMBER($T21),$T21&gt;2),"High leverage",IF(AND(ISNUMBER($Y21),$Y21&gt;120),"Slow receivables collection",IF(AND(ISNUMBER($AC21),$AC21&lt;0),"Negative working capital",IF(OR('DATA ENTRY'!$E21="Unaudited",'DATA ENTRY'!$E21="Banker Letter Only",'DATA ENTRY'!$E21="Management Accounts"),"Statement status limits weight on ratios","No major red flag from entered ratios"))))))))</f>
        <v/>
      </c>
    </row>
    <row r="22" spans="1:35">
      <c r="A22" s="13" t="str">
        <f>IF('DATA ENTRY'!$B22&lt;&gt;"",'DATA ENTRY'!$A22,"")</f>
        <v/>
      </c>
      <c r="B22" s="13" t="str">
        <f>IF('DATA ENTRY'!$B22&lt;&gt;"",'DATA ENTRY'!$B22,"")</f>
        <v/>
      </c>
      <c r="C22" s="13" t="str">
        <f>IF('DATA ENTRY'!$B22&lt;&gt;"",'DATA ENTRY'!$C22,"")</f>
        <v/>
      </c>
      <c r="D22" s="13" t="str">
        <f>IF('DATA ENTRY'!$B22&lt;&gt;"",'DATA ENTRY'!$D22,"")</f>
        <v/>
      </c>
      <c r="E22" s="13" t="str">
        <f>IF('DATA ENTRY'!$B22&lt;&gt;"",'DATA ENTRY'!$E22,"")</f>
        <v/>
      </c>
      <c r="F22" s="13" t="str">
        <f>IF($B22="","",IF('DATA ENTRY'!$Y22="Yes","Checked",IF('DATA ENTRY'!$Y22="No","Needs check","Not marked")))</f>
        <v/>
      </c>
      <c r="G22" s="22" t="str">
        <f>IF($B22="","",IF('DATA ENTRY'!$I22&lt;&gt;"",'DATA ENTRY'!$I22,IF(AND('DATA ENTRY'!$G22&lt;&gt;"",'DATA ENTRY'!$H22&lt;&gt;""),'DATA ENTRY'!$G22-'DATA ENTRY'!$H22,"")))</f>
        <v/>
      </c>
      <c r="H22" s="23" t="str">
        <f>IF(OR($B22="",$G22="",'DATA ENTRY'!$G22=""),"",IFERROR($G22/'DATA ENTRY'!$G22,""))</f>
        <v/>
      </c>
      <c r="I22" s="24" t="str">
        <f t="shared" si="0"/>
        <v/>
      </c>
      <c r="J22" s="23" t="str">
        <f>IF(OR($B22="",'DATA ENTRY'!$J22="",'DATA ENTRY'!$G22=""),"",IFERROR('DATA ENTRY'!$J22/'DATA ENTRY'!$G22,""))</f>
        <v/>
      </c>
      <c r="K22" s="24" t="str">
        <f t="shared" si="1"/>
        <v/>
      </c>
      <c r="L22" s="23" t="str">
        <f>IF(OR($B22="",'DATA ENTRY'!$J22="",'DATA ENTRY'!$Q22=""),"",IFERROR('DATA ENTRY'!$J22/'DATA ENTRY'!$Q22,""))</f>
        <v/>
      </c>
      <c r="M22" s="24" t="str">
        <f t="shared" si="2"/>
        <v/>
      </c>
      <c r="N22" s="23" t="str">
        <f>IF(OR($B22="",'DATA ENTRY'!$J22="",'DATA ENTRY'!$U22="",'DATA ENTRY'!$U22&lt;=0),"",IFERROR('DATA ENTRY'!$J22/'DATA ENTRY'!$U22,""))</f>
        <v/>
      </c>
      <c r="O22" s="24" t="str">
        <f>IF($B22="","",IF(OR('DATA ENTRY'!$J22="",'DATA ENTRY'!$U22=""),"Not entered",IF('DATA ENTRY'!$U22&lt;=0,"High-risk",IF($N22&gt;=0.15,"Strong",IF($N22&gt;=0.08,"Adequate",IF($N22&gt;=0,"Caution","High-risk"))))))</f>
        <v/>
      </c>
      <c r="P22" s="25" t="str">
        <f>IF(OR($B22="",'DATA ENTRY'!$K22="",'DATA ENTRY'!$R22=""),"",IFERROR('DATA ENTRY'!$K22/'DATA ENTRY'!$R22,""))</f>
        <v/>
      </c>
      <c r="Q22" s="24" t="str">
        <f t="shared" si="3"/>
        <v/>
      </c>
      <c r="R22" s="25" t="str">
        <f>IF(OR($B22="",'DATA ENTRY'!$K22="",'DATA ENTRY'!$R22=""),"",IFERROR(('DATA ENTRY'!$K22-IF('DATA ENTRY'!$O22="",0,'DATA ENTRY'!$O22))/'DATA ENTRY'!$R22,""))</f>
        <v/>
      </c>
      <c r="S22" s="24" t="str">
        <f t="shared" si="4"/>
        <v/>
      </c>
      <c r="T22" s="25" t="str">
        <f>IF(OR($B22="",'DATA ENTRY'!$T22="",'DATA ENTRY'!$U22="",'DATA ENTRY'!$U22&lt;=0),"",IFERROR('DATA ENTRY'!$T22/'DATA ENTRY'!$U22,""))</f>
        <v/>
      </c>
      <c r="U22" s="24" t="str">
        <f>IF($B22="","",IF(OR('DATA ENTRY'!$T22="",'DATA ENTRY'!$U22=""),"Not entered",IF('DATA ENTRY'!$U22&lt;=0,"High-risk",IF($T22&lt;=1,"Strong",IF($T22&lt;=1.5,"Adequate",IF($T22&lt;=2,"Caution","High-risk"))))))</f>
        <v/>
      </c>
      <c r="V22" s="23" t="str">
        <f>IF(OR($B22="",'DATA ENTRY'!$U22="",'DATA ENTRY'!$Q22=""),"",IFERROR('DATA ENTRY'!$U22/'DATA ENTRY'!$Q22,""))</f>
        <v/>
      </c>
      <c r="W22" s="24" t="str">
        <f t="shared" si="5"/>
        <v/>
      </c>
      <c r="X22" s="25" t="str">
        <f>IF(OR($B22="",'DATA ENTRY'!$G22="",'DATA ENTRY'!$M22=""),"",IF('DATA ENTRY'!$N22&lt;&gt;"",'DATA ENTRY'!$G22/AVERAGE('DATA ENTRY'!$M22,'DATA ENTRY'!$N22),IFERROR('DATA ENTRY'!$G22/'DATA ENTRY'!$M22,"")))</f>
        <v/>
      </c>
      <c r="Y22" s="26" t="str">
        <f t="shared" si="6"/>
        <v/>
      </c>
      <c r="Z22" s="24" t="str">
        <f t="shared" si="7"/>
        <v/>
      </c>
      <c r="AA22" s="25" t="str">
        <f>IF(OR($B22="",'DATA ENTRY'!$G22="",'DATA ENTRY'!$Q22=""),"",IFERROR('DATA ENTRY'!$G22/'DATA ENTRY'!$Q22,""))</f>
        <v/>
      </c>
      <c r="AB22" s="24" t="str">
        <f t="shared" si="8"/>
        <v/>
      </c>
      <c r="AC22" s="27" t="str">
        <f>IF(OR($B22="",'DATA ENTRY'!$K22="",'DATA ENTRY'!$R22=""),"",'DATA ENTRY'!$K22-'DATA ENTRY'!$R22)</f>
        <v/>
      </c>
      <c r="AD22" s="24" t="str">
        <f>IF($B22="","",IF($AC22="","Not entered",IF($AC22&lt;0,"High-risk",IF($AC22=0,"Caution",IF('DATA ENTRY'!$L22="","Adequate",IFERROR(IF('DATA ENTRY'!$L22/'DATA ENTRY'!$R22&gt;=0.25,"Strong","Adequate"),"Adequate"))))))</f>
        <v/>
      </c>
      <c r="AE22" s="25" t="str">
        <f>IF($B22="","",IF(OR('DATA ENTRY'!$W22="",'DATA ENTRY'!$W22=0),"N/A",IF('DATA ENTRY'!$V22="","",IFERROR('DATA ENTRY'!$V22/'DATA ENTRY'!$W22,""))))</f>
        <v/>
      </c>
      <c r="AF22" s="24" t="str">
        <f t="shared" si="9"/>
        <v/>
      </c>
      <c r="AG22" s="25" t="str">
        <f t="shared" si="10"/>
        <v/>
      </c>
      <c r="AH22" s="24" t="str">
        <f>IF($B22="","",IF(AND(ISNUMBER('DATA ENTRY'!$U22),'DATA ENTRY'!$U22&lt;=0),"Financially stretched",IF($AG22="","Insufficient data",IF(AND(ISNUMBER('DATA ENTRY'!$J22),'DATA ENTRY'!$J22&lt;0),IF($AG22&gt;=2,"Adequate with caution","Financially stretched"),IF($AG22&gt;=3.5,"Financially strong",IF($AG22&gt;=2.75,"Financially adequate",IF($AG22&gt;=2,"Adequate with caution","Financially stretched")))))))</f>
        <v/>
      </c>
      <c r="AI22" s="28" t="str">
        <f>IF($B22="","",IF(AND(ISNUMBER('DATA ENTRY'!$U22),'DATA ENTRY'!$U22&lt;=0),"Negative equity — possible insolvency",IF(AND(ISNUMBER('DATA ENTRY'!$J22),'DATA ENTRY'!$J22&lt;0),"Loss position",IF(AND(ISNUMBER($P22),$P22&lt;1),"Current liabilities exceed current assets",IF(AND(ISNUMBER($T22),$T22&gt;2),"High leverage",IF(AND(ISNUMBER($Y22),$Y22&gt;120),"Slow receivables collection",IF(AND(ISNUMBER($AC22),$AC22&lt;0),"Negative working capital",IF(OR('DATA ENTRY'!$E22="Unaudited",'DATA ENTRY'!$E22="Banker Letter Only",'DATA ENTRY'!$E22="Management Accounts"),"Statement status limits weight on ratios","No major red flag from entered ratios"))))))))</f>
        <v/>
      </c>
    </row>
    <row r="23" spans="1:35">
      <c r="A23" s="13" t="str">
        <f>IF('DATA ENTRY'!$B23&lt;&gt;"",'DATA ENTRY'!$A23,"")</f>
        <v/>
      </c>
      <c r="B23" s="13" t="str">
        <f>IF('DATA ENTRY'!$B23&lt;&gt;"",'DATA ENTRY'!$B23,"")</f>
        <v/>
      </c>
      <c r="C23" s="13" t="str">
        <f>IF('DATA ENTRY'!$B23&lt;&gt;"",'DATA ENTRY'!$C23,"")</f>
        <v/>
      </c>
      <c r="D23" s="13" t="str">
        <f>IF('DATA ENTRY'!$B23&lt;&gt;"",'DATA ENTRY'!$D23,"")</f>
        <v/>
      </c>
      <c r="E23" s="13" t="str">
        <f>IF('DATA ENTRY'!$B23&lt;&gt;"",'DATA ENTRY'!$E23,"")</f>
        <v/>
      </c>
      <c r="F23" s="13" t="str">
        <f>IF($B23="","",IF('DATA ENTRY'!$Y23="Yes","Checked",IF('DATA ENTRY'!$Y23="No","Needs check","Not marked")))</f>
        <v/>
      </c>
      <c r="G23" s="22" t="str">
        <f>IF($B23="","",IF('DATA ENTRY'!$I23&lt;&gt;"",'DATA ENTRY'!$I23,IF(AND('DATA ENTRY'!$G23&lt;&gt;"",'DATA ENTRY'!$H23&lt;&gt;""),'DATA ENTRY'!$G23-'DATA ENTRY'!$H23,"")))</f>
        <v/>
      </c>
      <c r="H23" s="23" t="str">
        <f>IF(OR($B23="",$G23="",'DATA ENTRY'!$G23=""),"",IFERROR($G23/'DATA ENTRY'!$G23,""))</f>
        <v/>
      </c>
      <c r="I23" s="24" t="str">
        <f t="shared" si="0"/>
        <v/>
      </c>
      <c r="J23" s="23" t="str">
        <f>IF(OR($B23="",'DATA ENTRY'!$J23="",'DATA ENTRY'!$G23=""),"",IFERROR('DATA ENTRY'!$J23/'DATA ENTRY'!$G23,""))</f>
        <v/>
      </c>
      <c r="K23" s="24" t="str">
        <f t="shared" si="1"/>
        <v/>
      </c>
      <c r="L23" s="23" t="str">
        <f>IF(OR($B23="",'DATA ENTRY'!$J23="",'DATA ENTRY'!$Q23=""),"",IFERROR('DATA ENTRY'!$J23/'DATA ENTRY'!$Q23,""))</f>
        <v/>
      </c>
      <c r="M23" s="24" t="str">
        <f t="shared" si="2"/>
        <v/>
      </c>
      <c r="N23" s="23" t="str">
        <f>IF(OR($B23="",'DATA ENTRY'!$J23="",'DATA ENTRY'!$U23="",'DATA ENTRY'!$U23&lt;=0),"",IFERROR('DATA ENTRY'!$J23/'DATA ENTRY'!$U23,""))</f>
        <v/>
      </c>
      <c r="O23" s="24" t="str">
        <f>IF($B23="","",IF(OR('DATA ENTRY'!$J23="",'DATA ENTRY'!$U23=""),"Not entered",IF('DATA ENTRY'!$U23&lt;=0,"High-risk",IF($N23&gt;=0.15,"Strong",IF($N23&gt;=0.08,"Adequate",IF($N23&gt;=0,"Caution","High-risk"))))))</f>
        <v/>
      </c>
      <c r="P23" s="25" t="str">
        <f>IF(OR($B23="",'DATA ENTRY'!$K23="",'DATA ENTRY'!$R23=""),"",IFERROR('DATA ENTRY'!$K23/'DATA ENTRY'!$R23,""))</f>
        <v/>
      </c>
      <c r="Q23" s="24" t="str">
        <f t="shared" si="3"/>
        <v/>
      </c>
      <c r="R23" s="25" t="str">
        <f>IF(OR($B23="",'DATA ENTRY'!$K23="",'DATA ENTRY'!$R23=""),"",IFERROR(('DATA ENTRY'!$K23-IF('DATA ENTRY'!$O23="",0,'DATA ENTRY'!$O23))/'DATA ENTRY'!$R23,""))</f>
        <v/>
      </c>
      <c r="S23" s="24" t="str">
        <f t="shared" si="4"/>
        <v/>
      </c>
      <c r="T23" s="25" t="str">
        <f>IF(OR($B23="",'DATA ENTRY'!$T23="",'DATA ENTRY'!$U23="",'DATA ENTRY'!$U23&lt;=0),"",IFERROR('DATA ENTRY'!$T23/'DATA ENTRY'!$U23,""))</f>
        <v/>
      </c>
      <c r="U23" s="24" t="str">
        <f>IF($B23="","",IF(OR('DATA ENTRY'!$T23="",'DATA ENTRY'!$U23=""),"Not entered",IF('DATA ENTRY'!$U23&lt;=0,"High-risk",IF($T23&lt;=1,"Strong",IF($T23&lt;=1.5,"Adequate",IF($T23&lt;=2,"Caution","High-risk"))))))</f>
        <v/>
      </c>
      <c r="V23" s="23" t="str">
        <f>IF(OR($B23="",'DATA ENTRY'!$U23="",'DATA ENTRY'!$Q23=""),"",IFERROR('DATA ENTRY'!$U23/'DATA ENTRY'!$Q23,""))</f>
        <v/>
      </c>
      <c r="W23" s="24" t="str">
        <f t="shared" si="5"/>
        <v/>
      </c>
      <c r="X23" s="25" t="str">
        <f>IF(OR($B23="",'DATA ENTRY'!$G23="",'DATA ENTRY'!$M23=""),"",IF('DATA ENTRY'!$N23&lt;&gt;"",'DATA ENTRY'!$G23/AVERAGE('DATA ENTRY'!$M23,'DATA ENTRY'!$N23),IFERROR('DATA ENTRY'!$G23/'DATA ENTRY'!$M23,"")))</f>
        <v/>
      </c>
      <c r="Y23" s="26" t="str">
        <f t="shared" si="6"/>
        <v/>
      </c>
      <c r="Z23" s="24" t="str">
        <f t="shared" si="7"/>
        <v/>
      </c>
      <c r="AA23" s="25" t="str">
        <f>IF(OR($B23="",'DATA ENTRY'!$G23="",'DATA ENTRY'!$Q23=""),"",IFERROR('DATA ENTRY'!$G23/'DATA ENTRY'!$Q23,""))</f>
        <v/>
      </c>
      <c r="AB23" s="24" t="str">
        <f t="shared" si="8"/>
        <v/>
      </c>
      <c r="AC23" s="27" t="str">
        <f>IF(OR($B23="",'DATA ENTRY'!$K23="",'DATA ENTRY'!$R23=""),"",'DATA ENTRY'!$K23-'DATA ENTRY'!$R23)</f>
        <v/>
      </c>
      <c r="AD23" s="24" t="str">
        <f>IF($B23="","",IF($AC23="","Not entered",IF($AC23&lt;0,"High-risk",IF($AC23=0,"Caution",IF('DATA ENTRY'!$L23="","Adequate",IFERROR(IF('DATA ENTRY'!$L23/'DATA ENTRY'!$R23&gt;=0.25,"Strong","Adequate"),"Adequate"))))))</f>
        <v/>
      </c>
      <c r="AE23" s="25" t="str">
        <f>IF($B23="","",IF(OR('DATA ENTRY'!$W23="",'DATA ENTRY'!$W23=0),"N/A",IF('DATA ENTRY'!$V23="","",IFERROR('DATA ENTRY'!$V23/'DATA ENTRY'!$W23,""))))</f>
        <v/>
      </c>
      <c r="AF23" s="24" t="str">
        <f t="shared" si="9"/>
        <v/>
      </c>
      <c r="AG23" s="25" t="str">
        <f t="shared" si="10"/>
        <v/>
      </c>
      <c r="AH23" s="24" t="str">
        <f>IF($B23="","",IF(AND(ISNUMBER('DATA ENTRY'!$U23),'DATA ENTRY'!$U23&lt;=0),"Financially stretched",IF($AG23="","Insufficient data",IF(AND(ISNUMBER('DATA ENTRY'!$J23),'DATA ENTRY'!$J23&lt;0),IF($AG23&gt;=2,"Adequate with caution","Financially stretched"),IF($AG23&gt;=3.5,"Financially strong",IF($AG23&gt;=2.75,"Financially adequate",IF($AG23&gt;=2,"Adequate with caution","Financially stretched")))))))</f>
        <v/>
      </c>
      <c r="AI23" s="28" t="str">
        <f>IF($B23="","",IF(AND(ISNUMBER('DATA ENTRY'!$U23),'DATA ENTRY'!$U23&lt;=0),"Negative equity — possible insolvency",IF(AND(ISNUMBER('DATA ENTRY'!$J23),'DATA ENTRY'!$J23&lt;0),"Loss position",IF(AND(ISNUMBER($P23),$P23&lt;1),"Current liabilities exceed current assets",IF(AND(ISNUMBER($T23),$T23&gt;2),"High leverage",IF(AND(ISNUMBER($Y23),$Y23&gt;120),"Slow receivables collection",IF(AND(ISNUMBER($AC23),$AC23&lt;0),"Negative working capital",IF(OR('DATA ENTRY'!$E23="Unaudited",'DATA ENTRY'!$E23="Banker Letter Only",'DATA ENTRY'!$E23="Management Accounts"),"Statement status limits weight on ratios","No major red flag from entered ratios"))))))))</f>
        <v/>
      </c>
    </row>
    <row r="24" spans="1:35">
      <c r="A24" s="13" t="str">
        <f>IF('DATA ENTRY'!$B24&lt;&gt;"",'DATA ENTRY'!$A24,"")</f>
        <v/>
      </c>
      <c r="B24" s="13" t="str">
        <f>IF('DATA ENTRY'!$B24&lt;&gt;"",'DATA ENTRY'!$B24,"")</f>
        <v/>
      </c>
      <c r="C24" s="13" t="str">
        <f>IF('DATA ENTRY'!$B24&lt;&gt;"",'DATA ENTRY'!$C24,"")</f>
        <v/>
      </c>
      <c r="D24" s="13" t="str">
        <f>IF('DATA ENTRY'!$B24&lt;&gt;"",'DATA ENTRY'!$D24,"")</f>
        <v/>
      </c>
      <c r="E24" s="13" t="str">
        <f>IF('DATA ENTRY'!$B24&lt;&gt;"",'DATA ENTRY'!$E24,"")</f>
        <v/>
      </c>
      <c r="F24" s="13" t="str">
        <f>IF($B24="","",IF('DATA ENTRY'!$Y24="Yes","Checked",IF('DATA ENTRY'!$Y24="No","Needs check","Not marked")))</f>
        <v/>
      </c>
      <c r="G24" s="22" t="str">
        <f>IF($B24="","",IF('DATA ENTRY'!$I24&lt;&gt;"",'DATA ENTRY'!$I24,IF(AND('DATA ENTRY'!$G24&lt;&gt;"",'DATA ENTRY'!$H24&lt;&gt;""),'DATA ENTRY'!$G24-'DATA ENTRY'!$H24,"")))</f>
        <v/>
      </c>
      <c r="H24" s="23" t="str">
        <f>IF(OR($B24="",$G24="",'DATA ENTRY'!$G24=""),"",IFERROR($G24/'DATA ENTRY'!$G24,""))</f>
        <v/>
      </c>
      <c r="I24" s="24" t="str">
        <f t="shared" si="0"/>
        <v/>
      </c>
      <c r="J24" s="23" t="str">
        <f>IF(OR($B24="",'DATA ENTRY'!$J24="",'DATA ENTRY'!$G24=""),"",IFERROR('DATA ENTRY'!$J24/'DATA ENTRY'!$G24,""))</f>
        <v/>
      </c>
      <c r="K24" s="24" t="str">
        <f t="shared" si="1"/>
        <v/>
      </c>
      <c r="L24" s="23" t="str">
        <f>IF(OR($B24="",'DATA ENTRY'!$J24="",'DATA ENTRY'!$Q24=""),"",IFERROR('DATA ENTRY'!$J24/'DATA ENTRY'!$Q24,""))</f>
        <v/>
      </c>
      <c r="M24" s="24" t="str">
        <f t="shared" si="2"/>
        <v/>
      </c>
      <c r="N24" s="23" t="str">
        <f>IF(OR($B24="",'DATA ENTRY'!$J24="",'DATA ENTRY'!$U24="",'DATA ENTRY'!$U24&lt;=0),"",IFERROR('DATA ENTRY'!$J24/'DATA ENTRY'!$U24,""))</f>
        <v/>
      </c>
      <c r="O24" s="24" t="str">
        <f>IF($B24="","",IF(OR('DATA ENTRY'!$J24="",'DATA ENTRY'!$U24=""),"Not entered",IF('DATA ENTRY'!$U24&lt;=0,"High-risk",IF($N24&gt;=0.15,"Strong",IF($N24&gt;=0.08,"Adequate",IF($N24&gt;=0,"Caution","High-risk"))))))</f>
        <v/>
      </c>
      <c r="P24" s="25" t="str">
        <f>IF(OR($B24="",'DATA ENTRY'!$K24="",'DATA ENTRY'!$R24=""),"",IFERROR('DATA ENTRY'!$K24/'DATA ENTRY'!$R24,""))</f>
        <v/>
      </c>
      <c r="Q24" s="24" t="str">
        <f t="shared" si="3"/>
        <v/>
      </c>
      <c r="R24" s="25" t="str">
        <f>IF(OR($B24="",'DATA ENTRY'!$K24="",'DATA ENTRY'!$R24=""),"",IFERROR(('DATA ENTRY'!$K24-IF('DATA ENTRY'!$O24="",0,'DATA ENTRY'!$O24))/'DATA ENTRY'!$R24,""))</f>
        <v/>
      </c>
      <c r="S24" s="24" t="str">
        <f t="shared" si="4"/>
        <v/>
      </c>
      <c r="T24" s="25" t="str">
        <f>IF(OR($B24="",'DATA ENTRY'!$T24="",'DATA ENTRY'!$U24="",'DATA ENTRY'!$U24&lt;=0),"",IFERROR('DATA ENTRY'!$T24/'DATA ENTRY'!$U24,""))</f>
        <v/>
      </c>
      <c r="U24" s="24" t="str">
        <f>IF($B24="","",IF(OR('DATA ENTRY'!$T24="",'DATA ENTRY'!$U24=""),"Not entered",IF('DATA ENTRY'!$U24&lt;=0,"High-risk",IF($T24&lt;=1,"Strong",IF($T24&lt;=1.5,"Adequate",IF($T24&lt;=2,"Caution","High-risk"))))))</f>
        <v/>
      </c>
      <c r="V24" s="23" t="str">
        <f>IF(OR($B24="",'DATA ENTRY'!$U24="",'DATA ENTRY'!$Q24=""),"",IFERROR('DATA ENTRY'!$U24/'DATA ENTRY'!$Q24,""))</f>
        <v/>
      </c>
      <c r="W24" s="24" t="str">
        <f t="shared" si="5"/>
        <v/>
      </c>
      <c r="X24" s="25" t="str">
        <f>IF(OR($B24="",'DATA ENTRY'!$G24="",'DATA ENTRY'!$M24=""),"",IF('DATA ENTRY'!$N24&lt;&gt;"",'DATA ENTRY'!$G24/AVERAGE('DATA ENTRY'!$M24,'DATA ENTRY'!$N24),IFERROR('DATA ENTRY'!$G24/'DATA ENTRY'!$M24,"")))</f>
        <v/>
      </c>
      <c r="Y24" s="26" t="str">
        <f t="shared" si="6"/>
        <v/>
      </c>
      <c r="Z24" s="24" t="str">
        <f t="shared" si="7"/>
        <v/>
      </c>
      <c r="AA24" s="25" t="str">
        <f>IF(OR($B24="",'DATA ENTRY'!$G24="",'DATA ENTRY'!$Q24=""),"",IFERROR('DATA ENTRY'!$G24/'DATA ENTRY'!$Q24,""))</f>
        <v/>
      </c>
      <c r="AB24" s="24" t="str">
        <f t="shared" si="8"/>
        <v/>
      </c>
      <c r="AC24" s="27" t="str">
        <f>IF(OR($B24="",'DATA ENTRY'!$K24="",'DATA ENTRY'!$R24=""),"",'DATA ENTRY'!$K24-'DATA ENTRY'!$R24)</f>
        <v/>
      </c>
      <c r="AD24" s="24" t="str">
        <f>IF($B24="","",IF($AC24="","Not entered",IF($AC24&lt;0,"High-risk",IF($AC24=0,"Caution",IF('DATA ENTRY'!$L24="","Adequate",IFERROR(IF('DATA ENTRY'!$L24/'DATA ENTRY'!$R24&gt;=0.25,"Strong","Adequate"),"Adequate"))))))</f>
        <v/>
      </c>
      <c r="AE24" s="25" t="str">
        <f>IF($B24="","",IF(OR('DATA ENTRY'!$W24="",'DATA ENTRY'!$W24=0),"N/A",IF('DATA ENTRY'!$V24="","",IFERROR('DATA ENTRY'!$V24/'DATA ENTRY'!$W24,""))))</f>
        <v/>
      </c>
      <c r="AF24" s="24" t="str">
        <f t="shared" si="9"/>
        <v/>
      </c>
      <c r="AG24" s="25" t="str">
        <f t="shared" si="10"/>
        <v/>
      </c>
      <c r="AH24" s="24" t="str">
        <f>IF($B24="","",IF(AND(ISNUMBER('DATA ENTRY'!$U24),'DATA ENTRY'!$U24&lt;=0),"Financially stretched",IF($AG24="","Insufficient data",IF(AND(ISNUMBER('DATA ENTRY'!$J24),'DATA ENTRY'!$J24&lt;0),IF($AG24&gt;=2,"Adequate with caution","Financially stretched"),IF($AG24&gt;=3.5,"Financially strong",IF($AG24&gt;=2.75,"Financially adequate",IF($AG24&gt;=2,"Adequate with caution","Financially stretched")))))))</f>
        <v/>
      </c>
      <c r="AI24" s="28" t="str">
        <f>IF($B24="","",IF(AND(ISNUMBER('DATA ENTRY'!$U24),'DATA ENTRY'!$U24&lt;=0),"Negative equity — possible insolvency",IF(AND(ISNUMBER('DATA ENTRY'!$J24),'DATA ENTRY'!$J24&lt;0),"Loss position",IF(AND(ISNUMBER($P24),$P24&lt;1),"Current liabilities exceed current assets",IF(AND(ISNUMBER($T24),$T24&gt;2),"High leverage",IF(AND(ISNUMBER($Y24),$Y24&gt;120),"Slow receivables collection",IF(AND(ISNUMBER($AC24),$AC24&lt;0),"Negative working capital",IF(OR('DATA ENTRY'!$E24="Unaudited",'DATA ENTRY'!$E24="Banker Letter Only",'DATA ENTRY'!$E24="Management Accounts"),"Statement status limits weight on ratios","No major red flag from entered ratios"))))))))</f>
        <v/>
      </c>
    </row>
    <row r="25" spans="1:35">
      <c r="A25" s="13" t="str">
        <f>IF('DATA ENTRY'!$B25&lt;&gt;"",'DATA ENTRY'!$A25,"")</f>
        <v/>
      </c>
      <c r="B25" s="13" t="str">
        <f>IF('DATA ENTRY'!$B25&lt;&gt;"",'DATA ENTRY'!$B25,"")</f>
        <v/>
      </c>
      <c r="C25" s="13" t="str">
        <f>IF('DATA ENTRY'!$B25&lt;&gt;"",'DATA ENTRY'!$C25,"")</f>
        <v/>
      </c>
      <c r="D25" s="13" t="str">
        <f>IF('DATA ENTRY'!$B25&lt;&gt;"",'DATA ENTRY'!$D25,"")</f>
        <v/>
      </c>
      <c r="E25" s="13" t="str">
        <f>IF('DATA ENTRY'!$B25&lt;&gt;"",'DATA ENTRY'!$E25,"")</f>
        <v/>
      </c>
      <c r="F25" s="13" t="str">
        <f>IF($B25="","",IF('DATA ENTRY'!$Y25="Yes","Checked",IF('DATA ENTRY'!$Y25="No","Needs check","Not marked")))</f>
        <v/>
      </c>
      <c r="G25" s="22" t="str">
        <f>IF($B25="","",IF('DATA ENTRY'!$I25&lt;&gt;"",'DATA ENTRY'!$I25,IF(AND('DATA ENTRY'!$G25&lt;&gt;"",'DATA ENTRY'!$H25&lt;&gt;""),'DATA ENTRY'!$G25-'DATA ENTRY'!$H25,"")))</f>
        <v/>
      </c>
      <c r="H25" s="23" t="str">
        <f>IF(OR($B25="",$G25="",'DATA ENTRY'!$G25=""),"",IFERROR($G25/'DATA ENTRY'!$G25,""))</f>
        <v/>
      </c>
      <c r="I25" s="24" t="str">
        <f t="shared" si="0"/>
        <v/>
      </c>
      <c r="J25" s="23" t="str">
        <f>IF(OR($B25="",'DATA ENTRY'!$J25="",'DATA ENTRY'!$G25=""),"",IFERROR('DATA ENTRY'!$J25/'DATA ENTRY'!$G25,""))</f>
        <v/>
      </c>
      <c r="K25" s="24" t="str">
        <f t="shared" si="1"/>
        <v/>
      </c>
      <c r="L25" s="23" t="str">
        <f>IF(OR($B25="",'DATA ENTRY'!$J25="",'DATA ENTRY'!$Q25=""),"",IFERROR('DATA ENTRY'!$J25/'DATA ENTRY'!$Q25,""))</f>
        <v/>
      </c>
      <c r="M25" s="24" t="str">
        <f t="shared" si="2"/>
        <v/>
      </c>
      <c r="N25" s="23" t="str">
        <f>IF(OR($B25="",'DATA ENTRY'!$J25="",'DATA ENTRY'!$U25="",'DATA ENTRY'!$U25&lt;=0),"",IFERROR('DATA ENTRY'!$J25/'DATA ENTRY'!$U25,""))</f>
        <v/>
      </c>
      <c r="O25" s="24" t="str">
        <f>IF($B25="","",IF(OR('DATA ENTRY'!$J25="",'DATA ENTRY'!$U25=""),"Not entered",IF('DATA ENTRY'!$U25&lt;=0,"High-risk",IF($N25&gt;=0.15,"Strong",IF($N25&gt;=0.08,"Adequate",IF($N25&gt;=0,"Caution","High-risk"))))))</f>
        <v/>
      </c>
      <c r="P25" s="25" t="str">
        <f>IF(OR($B25="",'DATA ENTRY'!$K25="",'DATA ENTRY'!$R25=""),"",IFERROR('DATA ENTRY'!$K25/'DATA ENTRY'!$R25,""))</f>
        <v/>
      </c>
      <c r="Q25" s="24" t="str">
        <f t="shared" si="3"/>
        <v/>
      </c>
      <c r="R25" s="25" t="str">
        <f>IF(OR($B25="",'DATA ENTRY'!$K25="",'DATA ENTRY'!$R25=""),"",IFERROR(('DATA ENTRY'!$K25-IF('DATA ENTRY'!$O25="",0,'DATA ENTRY'!$O25))/'DATA ENTRY'!$R25,""))</f>
        <v/>
      </c>
      <c r="S25" s="24" t="str">
        <f t="shared" si="4"/>
        <v/>
      </c>
      <c r="T25" s="25" t="str">
        <f>IF(OR($B25="",'DATA ENTRY'!$T25="",'DATA ENTRY'!$U25="",'DATA ENTRY'!$U25&lt;=0),"",IFERROR('DATA ENTRY'!$T25/'DATA ENTRY'!$U25,""))</f>
        <v/>
      </c>
      <c r="U25" s="24" t="str">
        <f>IF($B25="","",IF(OR('DATA ENTRY'!$T25="",'DATA ENTRY'!$U25=""),"Not entered",IF('DATA ENTRY'!$U25&lt;=0,"High-risk",IF($T25&lt;=1,"Strong",IF($T25&lt;=1.5,"Adequate",IF($T25&lt;=2,"Caution","High-risk"))))))</f>
        <v/>
      </c>
      <c r="V25" s="23" t="str">
        <f>IF(OR($B25="",'DATA ENTRY'!$U25="",'DATA ENTRY'!$Q25=""),"",IFERROR('DATA ENTRY'!$U25/'DATA ENTRY'!$Q25,""))</f>
        <v/>
      </c>
      <c r="W25" s="24" t="str">
        <f t="shared" si="5"/>
        <v/>
      </c>
      <c r="X25" s="25" t="str">
        <f>IF(OR($B25="",'DATA ENTRY'!$G25="",'DATA ENTRY'!$M25=""),"",IF('DATA ENTRY'!$N25&lt;&gt;"",'DATA ENTRY'!$G25/AVERAGE('DATA ENTRY'!$M25,'DATA ENTRY'!$N25),IFERROR('DATA ENTRY'!$G25/'DATA ENTRY'!$M25,"")))</f>
        <v/>
      </c>
      <c r="Y25" s="26" t="str">
        <f t="shared" si="6"/>
        <v/>
      </c>
      <c r="Z25" s="24" t="str">
        <f t="shared" si="7"/>
        <v/>
      </c>
      <c r="AA25" s="25" t="str">
        <f>IF(OR($B25="",'DATA ENTRY'!$G25="",'DATA ENTRY'!$Q25=""),"",IFERROR('DATA ENTRY'!$G25/'DATA ENTRY'!$Q25,""))</f>
        <v/>
      </c>
      <c r="AB25" s="24" t="str">
        <f t="shared" si="8"/>
        <v/>
      </c>
      <c r="AC25" s="27" t="str">
        <f>IF(OR($B25="",'DATA ENTRY'!$K25="",'DATA ENTRY'!$R25=""),"",'DATA ENTRY'!$K25-'DATA ENTRY'!$R25)</f>
        <v/>
      </c>
      <c r="AD25" s="24" t="str">
        <f>IF($B25="","",IF($AC25="","Not entered",IF($AC25&lt;0,"High-risk",IF($AC25=0,"Caution",IF('DATA ENTRY'!$L25="","Adequate",IFERROR(IF('DATA ENTRY'!$L25/'DATA ENTRY'!$R25&gt;=0.25,"Strong","Adequate"),"Adequate"))))))</f>
        <v/>
      </c>
      <c r="AE25" s="25" t="str">
        <f>IF($B25="","",IF(OR('DATA ENTRY'!$W25="",'DATA ENTRY'!$W25=0),"N/A",IF('DATA ENTRY'!$V25="","",IFERROR('DATA ENTRY'!$V25/'DATA ENTRY'!$W25,""))))</f>
        <v/>
      </c>
      <c r="AF25" s="24" t="str">
        <f t="shared" si="9"/>
        <v/>
      </c>
      <c r="AG25" s="25" t="str">
        <f t="shared" si="10"/>
        <v/>
      </c>
      <c r="AH25" s="24" t="str">
        <f>IF($B25="","",IF(AND(ISNUMBER('DATA ENTRY'!$U25),'DATA ENTRY'!$U25&lt;=0),"Financially stretched",IF($AG25="","Insufficient data",IF(AND(ISNUMBER('DATA ENTRY'!$J25),'DATA ENTRY'!$J25&lt;0),IF($AG25&gt;=2,"Adequate with caution","Financially stretched"),IF($AG25&gt;=3.5,"Financially strong",IF($AG25&gt;=2.75,"Financially adequate",IF($AG25&gt;=2,"Adequate with caution","Financially stretched")))))))</f>
        <v/>
      </c>
      <c r="AI25" s="28" t="str">
        <f>IF($B25="","",IF(AND(ISNUMBER('DATA ENTRY'!$U25),'DATA ENTRY'!$U25&lt;=0),"Negative equity — possible insolvency",IF(AND(ISNUMBER('DATA ENTRY'!$J25),'DATA ENTRY'!$J25&lt;0),"Loss position",IF(AND(ISNUMBER($P25),$P25&lt;1),"Current liabilities exceed current assets",IF(AND(ISNUMBER($T25),$T25&gt;2),"High leverage",IF(AND(ISNUMBER($Y25),$Y25&gt;120),"Slow receivables collection",IF(AND(ISNUMBER($AC25),$AC25&lt;0),"Negative working capital",IF(OR('DATA ENTRY'!$E25="Unaudited",'DATA ENTRY'!$E25="Banker Letter Only",'DATA ENTRY'!$E25="Management Accounts"),"Statement status limits weight on ratios","No major red flag from entered ratios"))))))))</f>
        <v/>
      </c>
    </row>
    <row r="26" spans="1:35">
      <c r="A26" s="13" t="str">
        <f>IF('DATA ENTRY'!$B26&lt;&gt;"",'DATA ENTRY'!$A26,"")</f>
        <v/>
      </c>
      <c r="B26" s="13" t="str">
        <f>IF('DATA ENTRY'!$B26&lt;&gt;"",'DATA ENTRY'!$B26,"")</f>
        <v/>
      </c>
      <c r="C26" s="13" t="str">
        <f>IF('DATA ENTRY'!$B26&lt;&gt;"",'DATA ENTRY'!$C26,"")</f>
        <v/>
      </c>
      <c r="D26" s="13" t="str">
        <f>IF('DATA ENTRY'!$B26&lt;&gt;"",'DATA ENTRY'!$D26,"")</f>
        <v/>
      </c>
      <c r="E26" s="13" t="str">
        <f>IF('DATA ENTRY'!$B26&lt;&gt;"",'DATA ENTRY'!$E26,"")</f>
        <v/>
      </c>
      <c r="F26" s="13" t="str">
        <f>IF($B26="","",IF('DATA ENTRY'!$Y26="Yes","Checked",IF('DATA ENTRY'!$Y26="No","Needs check","Not marked")))</f>
        <v/>
      </c>
      <c r="G26" s="22" t="str">
        <f>IF($B26="","",IF('DATA ENTRY'!$I26&lt;&gt;"",'DATA ENTRY'!$I26,IF(AND('DATA ENTRY'!$G26&lt;&gt;"",'DATA ENTRY'!$H26&lt;&gt;""),'DATA ENTRY'!$G26-'DATA ENTRY'!$H26,"")))</f>
        <v/>
      </c>
      <c r="H26" s="23" t="str">
        <f>IF(OR($B26="",$G26="",'DATA ENTRY'!$G26=""),"",IFERROR($G26/'DATA ENTRY'!$G26,""))</f>
        <v/>
      </c>
      <c r="I26" s="24" t="str">
        <f t="shared" si="0"/>
        <v/>
      </c>
      <c r="J26" s="23" t="str">
        <f>IF(OR($B26="",'DATA ENTRY'!$J26="",'DATA ENTRY'!$G26=""),"",IFERROR('DATA ENTRY'!$J26/'DATA ENTRY'!$G26,""))</f>
        <v/>
      </c>
      <c r="K26" s="24" t="str">
        <f t="shared" si="1"/>
        <v/>
      </c>
      <c r="L26" s="23" t="str">
        <f>IF(OR($B26="",'DATA ENTRY'!$J26="",'DATA ENTRY'!$Q26=""),"",IFERROR('DATA ENTRY'!$J26/'DATA ENTRY'!$Q26,""))</f>
        <v/>
      </c>
      <c r="M26" s="24" t="str">
        <f t="shared" si="2"/>
        <v/>
      </c>
      <c r="N26" s="23" t="str">
        <f>IF(OR($B26="",'DATA ENTRY'!$J26="",'DATA ENTRY'!$U26="",'DATA ENTRY'!$U26&lt;=0),"",IFERROR('DATA ENTRY'!$J26/'DATA ENTRY'!$U26,""))</f>
        <v/>
      </c>
      <c r="O26" s="24" t="str">
        <f>IF($B26="","",IF(OR('DATA ENTRY'!$J26="",'DATA ENTRY'!$U26=""),"Not entered",IF('DATA ENTRY'!$U26&lt;=0,"High-risk",IF($N26&gt;=0.15,"Strong",IF($N26&gt;=0.08,"Adequate",IF($N26&gt;=0,"Caution","High-risk"))))))</f>
        <v/>
      </c>
      <c r="P26" s="25" t="str">
        <f>IF(OR($B26="",'DATA ENTRY'!$K26="",'DATA ENTRY'!$R26=""),"",IFERROR('DATA ENTRY'!$K26/'DATA ENTRY'!$R26,""))</f>
        <v/>
      </c>
      <c r="Q26" s="24" t="str">
        <f t="shared" si="3"/>
        <v/>
      </c>
      <c r="R26" s="25" t="str">
        <f>IF(OR($B26="",'DATA ENTRY'!$K26="",'DATA ENTRY'!$R26=""),"",IFERROR(('DATA ENTRY'!$K26-IF('DATA ENTRY'!$O26="",0,'DATA ENTRY'!$O26))/'DATA ENTRY'!$R26,""))</f>
        <v/>
      </c>
      <c r="S26" s="24" t="str">
        <f t="shared" si="4"/>
        <v/>
      </c>
      <c r="T26" s="25" t="str">
        <f>IF(OR($B26="",'DATA ENTRY'!$T26="",'DATA ENTRY'!$U26="",'DATA ENTRY'!$U26&lt;=0),"",IFERROR('DATA ENTRY'!$T26/'DATA ENTRY'!$U26,""))</f>
        <v/>
      </c>
      <c r="U26" s="24" t="str">
        <f>IF($B26="","",IF(OR('DATA ENTRY'!$T26="",'DATA ENTRY'!$U26=""),"Not entered",IF('DATA ENTRY'!$U26&lt;=0,"High-risk",IF($T26&lt;=1,"Strong",IF($T26&lt;=1.5,"Adequate",IF($T26&lt;=2,"Caution","High-risk"))))))</f>
        <v/>
      </c>
      <c r="V26" s="23" t="str">
        <f>IF(OR($B26="",'DATA ENTRY'!$U26="",'DATA ENTRY'!$Q26=""),"",IFERROR('DATA ENTRY'!$U26/'DATA ENTRY'!$Q26,""))</f>
        <v/>
      </c>
      <c r="W26" s="24" t="str">
        <f t="shared" si="5"/>
        <v/>
      </c>
      <c r="X26" s="25" t="str">
        <f>IF(OR($B26="",'DATA ENTRY'!$G26="",'DATA ENTRY'!$M26=""),"",IF('DATA ENTRY'!$N26&lt;&gt;"",'DATA ENTRY'!$G26/AVERAGE('DATA ENTRY'!$M26,'DATA ENTRY'!$N26),IFERROR('DATA ENTRY'!$G26/'DATA ENTRY'!$M26,"")))</f>
        <v/>
      </c>
      <c r="Y26" s="26" t="str">
        <f t="shared" si="6"/>
        <v/>
      </c>
      <c r="Z26" s="24" t="str">
        <f t="shared" si="7"/>
        <v/>
      </c>
      <c r="AA26" s="25" t="str">
        <f>IF(OR($B26="",'DATA ENTRY'!$G26="",'DATA ENTRY'!$Q26=""),"",IFERROR('DATA ENTRY'!$G26/'DATA ENTRY'!$Q26,""))</f>
        <v/>
      </c>
      <c r="AB26" s="24" t="str">
        <f t="shared" si="8"/>
        <v/>
      </c>
      <c r="AC26" s="27" t="str">
        <f>IF(OR($B26="",'DATA ENTRY'!$K26="",'DATA ENTRY'!$R26=""),"",'DATA ENTRY'!$K26-'DATA ENTRY'!$R26)</f>
        <v/>
      </c>
      <c r="AD26" s="24" t="str">
        <f>IF($B26="","",IF($AC26="","Not entered",IF($AC26&lt;0,"High-risk",IF($AC26=0,"Caution",IF('DATA ENTRY'!$L26="","Adequate",IFERROR(IF('DATA ENTRY'!$L26/'DATA ENTRY'!$R26&gt;=0.25,"Strong","Adequate"),"Adequate"))))))</f>
        <v/>
      </c>
      <c r="AE26" s="25" t="str">
        <f>IF($B26="","",IF(OR('DATA ENTRY'!$W26="",'DATA ENTRY'!$W26=0),"N/A",IF('DATA ENTRY'!$V26="","",IFERROR('DATA ENTRY'!$V26/'DATA ENTRY'!$W26,""))))</f>
        <v/>
      </c>
      <c r="AF26" s="24" t="str">
        <f t="shared" si="9"/>
        <v/>
      </c>
      <c r="AG26" s="25" t="str">
        <f t="shared" si="10"/>
        <v/>
      </c>
      <c r="AH26" s="24" t="str">
        <f>IF($B26="","",IF(AND(ISNUMBER('DATA ENTRY'!$U26),'DATA ENTRY'!$U26&lt;=0),"Financially stretched",IF($AG26="","Insufficient data",IF(AND(ISNUMBER('DATA ENTRY'!$J26),'DATA ENTRY'!$J26&lt;0),IF($AG26&gt;=2,"Adequate with caution","Financially stretched"),IF($AG26&gt;=3.5,"Financially strong",IF($AG26&gt;=2.75,"Financially adequate",IF($AG26&gt;=2,"Adequate with caution","Financially stretched")))))))</f>
        <v/>
      </c>
      <c r="AI26" s="28" t="str">
        <f>IF($B26="","",IF(AND(ISNUMBER('DATA ENTRY'!$U26),'DATA ENTRY'!$U26&lt;=0),"Negative equity — possible insolvency",IF(AND(ISNUMBER('DATA ENTRY'!$J26),'DATA ENTRY'!$J26&lt;0),"Loss position",IF(AND(ISNUMBER($P26),$P26&lt;1),"Current liabilities exceed current assets",IF(AND(ISNUMBER($T26),$T26&gt;2),"High leverage",IF(AND(ISNUMBER($Y26),$Y26&gt;120),"Slow receivables collection",IF(AND(ISNUMBER($AC26),$AC26&lt;0),"Negative working capital",IF(OR('DATA ENTRY'!$E26="Unaudited",'DATA ENTRY'!$E26="Banker Letter Only",'DATA ENTRY'!$E26="Management Accounts"),"Statement status limits weight on ratios","No major red flag from entered ratios"))))))))</f>
        <v/>
      </c>
    </row>
    <row r="27" spans="1:35">
      <c r="A27" s="13" t="str">
        <f>IF('DATA ENTRY'!$B27&lt;&gt;"",'DATA ENTRY'!$A27,"")</f>
        <v/>
      </c>
      <c r="B27" s="13" t="str">
        <f>IF('DATA ENTRY'!$B27&lt;&gt;"",'DATA ENTRY'!$B27,"")</f>
        <v/>
      </c>
      <c r="C27" s="13" t="str">
        <f>IF('DATA ENTRY'!$B27&lt;&gt;"",'DATA ENTRY'!$C27,"")</f>
        <v/>
      </c>
      <c r="D27" s="13" t="str">
        <f>IF('DATA ENTRY'!$B27&lt;&gt;"",'DATA ENTRY'!$D27,"")</f>
        <v/>
      </c>
      <c r="E27" s="13" t="str">
        <f>IF('DATA ENTRY'!$B27&lt;&gt;"",'DATA ENTRY'!$E27,"")</f>
        <v/>
      </c>
      <c r="F27" s="13" t="str">
        <f>IF($B27="","",IF('DATA ENTRY'!$Y27="Yes","Checked",IF('DATA ENTRY'!$Y27="No","Needs check","Not marked")))</f>
        <v/>
      </c>
      <c r="G27" s="22" t="str">
        <f>IF($B27="","",IF('DATA ENTRY'!$I27&lt;&gt;"",'DATA ENTRY'!$I27,IF(AND('DATA ENTRY'!$G27&lt;&gt;"",'DATA ENTRY'!$H27&lt;&gt;""),'DATA ENTRY'!$G27-'DATA ENTRY'!$H27,"")))</f>
        <v/>
      </c>
      <c r="H27" s="23" t="str">
        <f>IF(OR($B27="",$G27="",'DATA ENTRY'!$G27=""),"",IFERROR($G27/'DATA ENTRY'!$G27,""))</f>
        <v/>
      </c>
      <c r="I27" s="24" t="str">
        <f t="shared" si="0"/>
        <v/>
      </c>
      <c r="J27" s="23" t="str">
        <f>IF(OR($B27="",'DATA ENTRY'!$J27="",'DATA ENTRY'!$G27=""),"",IFERROR('DATA ENTRY'!$J27/'DATA ENTRY'!$G27,""))</f>
        <v/>
      </c>
      <c r="K27" s="24" t="str">
        <f t="shared" si="1"/>
        <v/>
      </c>
      <c r="L27" s="23" t="str">
        <f>IF(OR($B27="",'DATA ENTRY'!$J27="",'DATA ENTRY'!$Q27=""),"",IFERROR('DATA ENTRY'!$J27/'DATA ENTRY'!$Q27,""))</f>
        <v/>
      </c>
      <c r="M27" s="24" t="str">
        <f t="shared" si="2"/>
        <v/>
      </c>
      <c r="N27" s="23" t="str">
        <f>IF(OR($B27="",'DATA ENTRY'!$J27="",'DATA ENTRY'!$U27="",'DATA ENTRY'!$U27&lt;=0),"",IFERROR('DATA ENTRY'!$J27/'DATA ENTRY'!$U27,""))</f>
        <v/>
      </c>
      <c r="O27" s="24" t="str">
        <f>IF($B27="","",IF(OR('DATA ENTRY'!$J27="",'DATA ENTRY'!$U27=""),"Not entered",IF('DATA ENTRY'!$U27&lt;=0,"High-risk",IF($N27&gt;=0.15,"Strong",IF($N27&gt;=0.08,"Adequate",IF($N27&gt;=0,"Caution","High-risk"))))))</f>
        <v/>
      </c>
      <c r="P27" s="25" t="str">
        <f>IF(OR($B27="",'DATA ENTRY'!$K27="",'DATA ENTRY'!$R27=""),"",IFERROR('DATA ENTRY'!$K27/'DATA ENTRY'!$R27,""))</f>
        <v/>
      </c>
      <c r="Q27" s="24" t="str">
        <f t="shared" si="3"/>
        <v/>
      </c>
      <c r="R27" s="25" t="str">
        <f>IF(OR($B27="",'DATA ENTRY'!$K27="",'DATA ENTRY'!$R27=""),"",IFERROR(('DATA ENTRY'!$K27-IF('DATA ENTRY'!$O27="",0,'DATA ENTRY'!$O27))/'DATA ENTRY'!$R27,""))</f>
        <v/>
      </c>
      <c r="S27" s="24" t="str">
        <f t="shared" si="4"/>
        <v/>
      </c>
      <c r="T27" s="25" t="str">
        <f>IF(OR($B27="",'DATA ENTRY'!$T27="",'DATA ENTRY'!$U27="",'DATA ENTRY'!$U27&lt;=0),"",IFERROR('DATA ENTRY'!$T27/'DATA ENTRY'!$U27,""))</f>
        <v/>
      </c>
      <c r="U27" s="24" t="str">
        <f>IF($B27="","",IF(OR('DATA ENTRY'!$T27="",'DATA ENTRY'!$U27=""),"Not entered",IF('DATA ENTRY'!$U27&lt;=0,"High-risk",IF($T27&lt;=1,"Strong",IF($T27&lt;=1.5,"Adequate",IF($T27&lt;=2,"Caution","High-risk"))))))</f>
        <v/>
      </c>
      <c r="V27" s="23" t="str">
        <f>IF(OR($B27="",'DATA ENTRY'!$U27="",'DATA ENTRY'!$Q27=""),"",IFERROR('DATA ENTRY'!$U27/'DATA ENTRY'!$Q27,""))</f>
        <v/>
      </c>
      <c r="W27" s="24" t="str">
        <f t="shared" si="5"/>
        <v/>
      </c>
      <c r="X27" s="25" t="str">
        <f>IF(OR($B27="",'DATA ENTRY'!$G27="",'DATA ENTRY'!$M27=""),"",IF('DATA ENTRY'!$N27&lt;&gt;"",'DATA ENTRY'!$G27/AVERAGE('DATA ENTRY'!$M27,'DATA ENTRY'!$N27),IFERROR('DATA ENTRY'!$G27/'DATA ENTRY'!$M27,"")))</f>
        <v/>
      </c>
      <c r="Y27" s="26" t="str">
        <f t="shared" si="6"/>
        <v/>
      </c>
      <c r="Z27" s="24" t="str">
        <f t="shared" si="7"/>
        <v/>
      </c>
      <c r="AA27" s="25" t="str">
        <f>IF(OR($B27="",'DATA ENTRY'!$G27="",'DATA ENTRY'!$Q27=""),"",IFERROR('DATA ENTRY'!$G27/'DATA ENTRY'!$Q27,""))</f>
        <v/>
      </c>
      <c r="AB27" s="24" t="str">
        <f t="shared" si="8"/>
        <v/>
      </c>
      <c r="AC27" s="27" t="str">
        <f>IF(OR($B27="",'DATA ENTRY'!$K27="",'DATA ENTRY'!$R27=""),"",'DATA ENTRY'!$K27-'DATA ENTRY'!$R27)</f>
        <v/>
      </c>
      <c r="AD27" s="24" t="str">
        <f>IF($B27="","",IF($AC27="","Not entered",IF($AC27&lt;0,"High-risk",IF($AC27=0,"Caution",IF('DATA ENTRY'!$L27="","Adequate",IFERROR(IF('DATA ENTRY'!$L27/'DATA ENTRY'!$R27&gt;=0.25,"Strong","Adequate"),"Adequate"))))))</f>
        <v/>
      </c>
      <c r="AE27" s="25" t="str">
        <f>IF($B27="","",IF(OR('DATA ENTRY'!$W27="",'DATA ENTRY'!$W27=0),"N/A",IF('DATA ENTRY'!$V27="","",IFERROR('DATA ENTRY'!$V27/'DATA ENTRY'!$W27,""))))</f>
        <v/>
      </c>
      <c r="AF27" s="24" t="str">
        <f t="shared" si="9"/>
        <v/>
      </c>
      <c r="AG27" s="25" t="str">
        <f t="shared" si="10"/>
        <v/>
      </c>
      <c r="AH27" s="24" t="str">
        <f>IF($B27="","",IF(AND(ISNUMBER('DATA ENTRY'!$U27),'DATA ENTRY'!$U27&lt;=0),"Financially stretched",IF($AG27="","Insufficient data",IF(AND(ISNUMBER('DATA ENTRY'!$J27),'DATA ENTRY'!$J27&lt;0),IF($AG27&gt;=2,"Adequate with caution","Financially stretched"),IF($AG27&gt;=3.5,"Financially strong",IF($AG27&gt;=2.75,"Financially adequate",IF($AG27&gt;=2,"Adequate with caution","Financially stretched")))))))</f>
        <v/>
      </c>
      <c r="AI27" s="28" t="str">
        <f>IF($B27="","",IF(AND(ISNUMBER('DATA ENTRY'!$U27),'DATA ENTRY'!$U27&lt;=0),"Negative equity — possible insolvency",IF(AND(ISNUMBER('DATA ENTRY'!$J27),'DATA ENTRY'!$J27&lt;0),"Loss position",IF(AND(ISNUMBER($P27),$P27&lt;1),"Current liabilities exceed current assets",IF(AND(ISNUMBER($T27),$T27&gt;2),"High leverage",IF(AND(ISNUMBER($Y27),$Y27&gt;120),"Slow receivables collection",IF(AND(ISNUMBER($AC27),$AC27&lt;0),"Negative working capital",IF(OR('DATA ENTRY'!$E27="Unaudited",'DATA ENTRY'!$E27="Banker Letter Only",'DATA ENTRY'!$E27="Management Accounts"),"Statement status limits weight on ratios","No major red flag from entered ratios"))))))))</f>
        <v/>
      </c>
    </row>
    <row r="28" spans="1:35">
      <c r="A28" s="13" t="str">
        <f>IF('DATA ENTRY'!$B28&lt;&gt;"",'DATA ENTRY'!$A28,"")</f>
        <v/>
      </c>
      <c r="B28" s="13" t="str">
        <f>IF('DATA ENTRY'!$B28&lt;&gt;"",'DATA ENTRY'!$B28,"")</f>
        <v/>
      </c>
      <c r="C28" s="13" t="str">
        <f>IF('DATA ENTRY'!$B28&lt;&gt;"",'DATA ENTRY'!$C28,"")</f>
        <v/>
      </c>
      <c r="D28" s="13" t="str">
        <f>IF('DATA ENTRY'!$B28&lt;&gt;"",'DATA ENTRY'!$D28,"")</f>
        <v/>
      </c>
      <c r="E28" s="13" t="str">
        <f>IF('DATA ENTRY'!$B28&lt;&gt;"",'DATA ENTRY'!$E28,"")</f>
        <v/>
      </c>
      <c r="F28" s="13" t="str">
        <f>IF($B28="","",IF('DATA ENTRY'!$Y28="Yes","Checked",IF('DATA ENTRY'!$Y28="No","Needs check","Not marked")))</f>
        <v/>
      </c>
      <c r="G28" s="22" t="str">
        <f>IF($B28="","",IF('DATA ENTRY'!$I28&lt;&gt;"",'DATA ENTRY'!$I28,IF(AND('DATA ENTRY'!$G28&lt;&gt;"",'DATA ENTRY'!$H28&lt;&gt;""),'DATA ENTRY'!$G28-'DATA ENTRY'!$H28,"")))</f>
        <v/>
      </c>
      <c r="H28" s="23" t="str">
        <f>IF(OR($B28="",$G28="",'DATA ENTRY'!$G28=""),"",IFERROR($G28/'DATA ENTRY'!$G28,""))</f>
        <v/>
      </c>
      <c r="I28" s="24" t="str">
        <f t="shared" si="0"/>
        <v/>
      </c>
      <c r="J28" s="23" t="str">
        <f>IF(OR($B28="",'DATA ENTRY'!$J28="",'DATA ENTRY'!$G28=""),"",IFERROR('DATA ENTRY'!$J28/'DATA ENTRY'!$G28,""))</f>
        <v/>
      </c>
      <c r="K28" s="24" t="str">
        <f t="shared" si="1"/>
        <v/>
      </c>
      <c r="L28" s="23" t="str">
        <f>IF(OR($B28="",'DATA ENTRY'!$J28="",'DATA ENTRY'!$Q28=""),"",IFERROR('DATA ENTRY'!$J28/'DATA ENTRY'!$Q28,""))</f>
        <v/>
      </c>
      <c r="M28" s="24" t="str">
        <f t="shared" si="2"/>
        <v/>
      </c>
      <c r="N28" s="23" t="str">
        <f>IF(OR($B28="",'DATA ENTRY'!$J28="",'DATA ENTRY'!$U28="",'DATA ENTRY'!$U28&lt;=0),"",IFERROR('DATA ENTRY'!$J28/'DATA ENTRY'!$U28,""))</f>
        <v/>
      </c>
      <c r="O28" s="24" t="str">
        <f>IF($B28="","",IF(OR('DATA ENTRY'!$J28="",'DATA ENTRY'!$U28=""),"Not entered",IF('DATA ENTRY'!$U28&lt;=0,"High-risk",IF($N28&gt;=0.15,"Strong",IF($N28&gt;=0.08,"Adequate",IF($N28&gt;=0,"Caution","High-risk"))))))</f>
        <v/>
      </c>
      <c r="P28" s="25" t="str">
        <f>IF(OR($B28="",'DATA ENTRY'!$K28="",'DATA ENTRY'!$R28=""),"",IFERROR('DATA ENTRY'!$K28/'DATA ENTRY'!$R28,""))</f>
        <v/>
      </c>
      <c r="Q28" s="24" t="str">
        <f t="shared" si="3"/>
        <v/>
      </c>
      <c r="R28" s="25" t="str">
        <f>IF(OR($B28="",'DATA ENTRY'!$K28="",'DATA ENTRY'!$R28=""),"",IFERROR(('DATA ENTRY'!$K28-IF('DATA ENTRY'!$O28="",0,'DATA ENTRY'!$O28))/'DATA ENTRY'!$R28,""))</f>
        <v/>
      </c>
      <c r="S28" s="24" t="str">
        <f t="shared" si="4"/>
        <v/>
      </c>
      <c r="T28" s="25" t="str">
        <f>IF(OR($B28="",'DATA ENTRY'!$T28="",'DATA ENTRY'!$U28="",'DATA ENTRY'!$U28&lt;=0),"",IFERROR('DATA ENTRY'!$T28/'DATA ENTRY'!$U28,""))</f>
        <v/>
      </c>
      <c r="U28" s="24" t="str">
        <f>IF($B28="","",IF(OR('DATA ENTRY'!$T28="",'DATA ENTRY'!$U28=""),"Not entered",IF('DATA ENTRY'!$U28&lt;=0,"High-risk",IF($T28&lt;=1,"Strong",IF($T28&lt;=1.5,"Adequate",IF($T28&lt;=2,"Caution","High-risk"))))))</f>
        <v/>
      </c>
      <c r="V28" s="23" t="str">
        <f>IF(OR($B28="",'DATA ENTRY'!$U28="",'DATA ENTRY'!$Q28=""),"",IFERROR('DATA ENTRY'!$U28/'DATA ENTRY'!$Q28,""))</f>
        <v/>
      </c>
      <c r="W28" s="24" t="str">
        <f t="shared" si="5"/>
        <v/>
      </c>
      <c r="X28" s="25" t="str">
        <f>IF(OR($B28="",'DATA ENTRY'!$G28="",'DATA ENTRY'!$M28=""),"",IF('DATA ENTRY'!$N28&lt;&gt;"",'DATA ENTRY'!$G28/AVERAGE('DATA ENTRY'!$M28,'DATA ENTRY'!$N28),IFERROR('DATA ENTRY'!$G28/'DATA ENTRY'!$M28,"")))</f>
        <v/>
      </c>
      <c r="Y28" s="26" t="str">
        <f t="shared" si="6"/>
        <v/>
      </c>
      <c r="Z28" s="24" t="str">
        <f t="shared" si="7"/>
        <v/>
      </c>
      <c r="AA28" s="25" t="str">
        <f>IF(OR($B28="",'DATA ENTRY'!$G28="",'DATA ENTRY'!$Q28=""),"",IFERROR('DATA ENTRY'!$G28/'DATA ENTRY'!$Q28,""))</f>
        <v/>
      </c>
      <c r="AB28" s="24" t="str">
        <f t="shared" si="8"/>
        <v/>
      </c>
      <c r="AC28" s="27" t="str">
        <f>IF(OR($B28="",'DATA ENTRY'!$K28="",'DATA ENTRY'!$R28=""),"",'DATA ENTRY'!$K28-'DATA ENTRY'!$R28)</f>
        <v/>
      </c>
      <c r="AD28" s="24" t="str">
        <f>IF($B28="","",IF($AC28="","Not entered",IF($AC28&lt;0,"High-risk",IF($AC28=0,"Caution",IF('DATA ENTRY'!$L28="","Adequate",IFERROR(IF('DATA ENTRY'!$L28/'DATA ENTRY'!$R28&gt;=0.25,"Strong","Adequate"),"Adequate"))))))</f>
        <v/>
      </c>
      <c r="AE28" s="25" t="str">
        <f>IF($B28="","",IF(OR('DATA ENTRY'!$W28="",'DATA ENTRY'!$W28=0),"N/A",IF('DATA ENTRY'!$V28="","",IFERROR('DATA ENTRY'!$V28/'DATA ENTRY'!$W28,""))))</f>
        <v/>
      </c>
      <c r="AF28" s="24" t="str">
        <f t="shared" si="9"/>
        <v/>
      </c>
      <c r="AG28" s="25" t="str">
        <f t="shared" si="10"/>
        <v/>
      </c>
      <c r="AH28" s="24" t="str">
        <f>IF($B28="","",IF(AND(ISNUMBER('DATA ENTRY'!$U28),'DATA ENTRY'!$U28&lt;=0),"Financially stretched",IF($AG28="","Insufficient data",IF(AND(ISNUMBER('DATA ENTRY'!$J28),'DATA ENTRY'!$J28&lt;0),IF($AG28&gt;=2,"Adequate with caution","Financially stretched"),IF($AG28&gt;=3.5,"Financially strong",IF($AG28&gt;=2.75,"Financially adequate",IF($AG28&gt;=2,"Adequate with caution","Financially stretched")))))))</f>
        <v/>
      </c>
      <c r="AI28" s="28" t="str">
        <f>IF($B28="","",IF(AND(ISNUMBER('DATA ENTRY'!$U28),'DATA ENTRY'!$U28&lt;=0),"Negative equity — possible insolvency",IF(AND(ISNUMBER('DATA ENTRY'!$J28),'DATA ENTRY'!$J28&lt;0),"Loss position",IF(AND(ISNUMBER($P28),$P28&lt;1),"Current liabilities exceed current assets",IF(AND(ISNUMBER($T28),$T28&gt;2),"High leverage",IF(AND(ISNUMBER($Y28),$Y28&gt;120),"Slow receivables collection",IF(AND(ISNUMBER($AC28),$AC28&lt;0),"Negative working capital",IF(OR('DATA ENTRY'!$E28="Unaudited",'DATA ENTRY'!$E28="Banker Letter Only",'DATA ENTRY'!$E28="Management Accounts"),"Statement status limits weight on ratios","No major red flag from entered ratios"))))))))</f>
        <v/>
      </c>
    </row>
    <row r="29" spans="1:35">
      <c r="A29" s="13" t="str">
        <f>IF('DATA ENTRY'!$B29&lt;&gt;"",'DATA ENTRY'!$A29,"")</f>
        <v/>
      </c>
      <c r="B29" s="13" t="str">
        <f>IF('DATA ENTRY'!$B29&lt;&gt;"",'DATA ENTRY'!$B29,"")</f>
        <v/>
      </c>
      <c r="C29" s="13" t="str">
        <f>IF('DATA ENTRY'!$B29&lt;&gt;"",'DATA ENTRY'!$C29,"")</f>
        <v/>
      </c>
      <c r="D29" s="13" t="str">
        <f>IF('DATA ENTRY'!$B29&lt;&gt;"",'DATA ENTRY'!$D29,"")</f>
        <v/>
      </c>
      <c r="E29" s="13" t="str">
        <f>IF('DATA ENTRY'!$B29&lt;&gt;"",'DATA ENTRY'!$E29,"")</f>
        <v/>
      </c>
      <c r="F29" s="13" t="str">
        <f>IF($B29="","",IF('DATA ENTRY'!$Y29="Yes","Checked",IF('DATA ENTRY'!$Y29="No","Needs check","Not marked")))</f>
        <v/>
      </c>
      <c r="G29" s="22" t="str">
        <f>IF($B29="","",IF('DATA ENTRY'!$I29&lt;&gt;"",'DATA ENTRY'!$I29,IF(AND('DATA ENTRY'!$G29&lt;&gt;"",'DATA ENTRY'!$H29&lt;&gt;""),'DATA ENTRY'!$G29-'DATA ENTRY'!$H29,"")))</f>
        <v/>
      </c>
      <c r="H29" s="23" t="str">
        <f>IF(OR($B29="",$G29="",'DATA ENTRY'!$G29=""),"",IFERROR($G29/'DATA ENTRY'!$G29,""))</f>
        <v/>
      </c>
      <c r="I29" s="24" t="str">
        <f t="shared" si="0"/>
        <v/>
      </c>
      <c r="J29" s="23" t="str">
        <f>IF(OR($B29="",'DATA ENTRY'!$J29="",'DATA ENTRY'!$G29=""),"",IFERROR('DATA ENTRY'!$J29/'DATA ENTRY'!$G29,""))</f>
        <v/>
      </c>
      <c r="K29" s="24" t="str">
        <f t="shared" si="1"/>
        <v/>
      </c>
      <c r="L29" s="23" t="str">
        <f>IF(OR($B29="",'DATA ENTRY'!$J29="",'DATA ENTRY'!$Q29=""),"",IFERROR('DATA ENTRY'!$J29/'DATA ENTRY'!$Q29,""))</f>
        <v/>
      </c>
      <c r="M29" s="24" t="str">
        <f t="shared" si="2"/>
        <v/>
      </c>
      <c r="N29" s="23" t="str">
        <f>IF(OR($B29="",'DATA ENTRY'!$J29="",'DATA ENTRY'!$U29="",'DATA ENTRY'!$U29&lt;=0),"",IFERROR('DATA ENTRY'!$J29/'DATA ENTRY'!$U29,""))</f>
        <v/>
      </c>
      <c r="O29" s="24" t="str">
        <f>IF($B29="","",IF(OR('DATA ENTRY'!$J29="",'DATA ENTRY'!$U29=""),"Not entered",IF('DATA ENTRY'!$U29&lt;=0,"High-risk",IF($N29&gt;=0.15,"Strong",IF($N29&gt;=0.08,"Adequate",IF($N29&gt;=0,"Caution","High-risk"))))))</f>
        <v/>
      </c>
      <c r="P29" s="25" t="str">
        <f>IF(OR($B29="",'DATA ENTRY'!$K29="",'DATA ENTRY'!$R29=""),"",IFERROR('DATA ENTRY'!$K29/'DATA ENTRY'!$R29,""))</f>
        <v/>
      </c>
      <c r="Q29" s="24" t="str">
        <f t="shared" si="3"/>
        <v/>
      </c>
      <c r="R29" s="25" t="str">
        <f>IF(OR($B29="",'DATA ENTRY'!$K29="",'DATA ENTRY'!$R29=""),"",IFERROR(('DATA ENTRY'!$K29-IF('DATA ENTRY'!$O29="",0,'DATA ENTRY'!$O29))/'DATA ENTRY'!$R29,""))</f>
        <v/>
      </c>
      <c r="S29" s="24" t="str">
        <f t="shared" si="4"/>
        <v/>
      </c>
      <c r="T29" s="25" t="str">
        <f>IF(OR($B29="",'DATA ENTRY'!$T29="",'DATA ENTRY'!$U29="",'DATA ENTRY'!$U29&lt;=0),"",IFERROR('DATA ENTRY'!$T29/'DATA ENTRY'!$U29,""))</f>
        <v/>
      </c>
      <c r="U29" s="24" t="str">
        <f>IF($B29="","",IF(OR('DATA ENTRY'!$T29="",'DATA ENTRY'!$U29=""),"Not entered",IF('DATA ENTRY'!$U29&lt;=0,"High-risk",IF($T29&lt;=1,"Strong",IF($T29&lt;=1.5,"Adequate",IF($T29&lt;=2,"Caution","High-risk"))))))</f>
        <v/>
      </c>
      <c r="V29" s="23" t="str">
        <f>IF(OR($B29="",'DATA ENTRY'!$U29="",'DATA ENTRY'!$Q29=""),"",IFERROR('DATA ENTRY'!$U29/'DATA ENTRY'!$Q29,""))</f>
        <v/>
      </c>
      <c r="W29" s="24" t="str">
        <f t="shared" si="5"/>
        <v/>
      </c>
      <c r="X29" s="25" t="str">
        <f>IF(OR($B29="",'DATA ENTRY'!$G29="",'DATA ENTRY'!$M29=""),"",IF('DATA ENTRY'!$N29&lt;&gt;"",'DATA ENTRY'!$G29/AVERAGE('DATA ENTRY'!$M29,'DATA ENTRY'!$N29),IFERROR('DATA ENTRY'!$G29/'DATA ENTRY'!$M29,"")))</f>
        <v/>
      </c>
      <c r="Y29" s="26" t="str">
        <f t="shared" si="6"/>
        <v/>
      </c>
      <c r="Z29" s="24" t="str">
        <f t="shared" si="7"/>
        <v/>
      </c>
      <c r="AA29" s="25" t="str">
        <f>IF(OR($B29="",'DATA ENTRY'!$G29="",'DATA ENTRY'!$Q29=""),"",IFERROR('DATA ENTRY'!$G29/'DATA ENTRY'!$Q29,""))</f>
        <v/>
      </c>
      <c r="AB29" s="24" t="str">
        <f t="shared" si="8"/>
        <v/>
      </c>
      <c r="AC29" s="27" t="str">
        <f>IF(OR($B29="",'DATA ENTRY'!$K29="",'DATA ENTRY'!$R29=""),"",'DATA ENTRY'!$K29-'DATA ENTRY'!$R29)</f>
        <v/>
      </c>
      <c r="AD29" s="24" t="str">
        <f>IF($B29="","",IF($AC29="","Not entered",IF($AC29&lt;0,"High-risk",IF($AC29=0,"Caution",IF('DATA ENTRY'!$L29="","Adequate",IFERROR(IF('DATA ENTRY'!$L29/'DATA ENTRY'!$R29&gt;=0.25,"Strong","Adequate"),"Adequate"))))))</f>
        <v/>
      </c>
      <c r="AE29" s="25" t="str">
        <f>IF($B29="","",IF(OR('DATA ENTRY'!$W29="",'DATA ENTRY'!$W29=0),"N/A",IF('DATA ENTRY'!$V29="","",IFERROR('DATA ENTRY'!$V29/'DATA ENTRY'!$W29,""))))</f>
        <v/>
      </c>
      <c r="AF29" s="24" t="str">
        <f t="shared" si="9"/>
        <v/>
      </c>
      <c r="AG29" s="25" t="str">
        <f t="shared" si="10"/>
        <v/>
      </c>
      <c r="AH29" s="24" t="str">
        <f>IF($B29="","",IF(AND(ISNUMBER('DATA ENTRY'!$U29),'DATA ENTRY'!$U29&lt;=0),"Financially stretched",IF($AG29="","Insufficient data",IF(AND(ISNUMBER('DATA ENTRY'!$J29),'DATA ENTRY'!$J29&lt;0),IF($AG29&gt;=2,"Adequate with caution","Financially stretched"),IF($AG29&gt;=3.5,"Financially strong",IF($AG29&gt;=2.75,"Financially adequate",IF($AG29&gt;=2,"Adequate with caution","Financially stretched")))))))</f>
        <v/>
      </c>
      <c r="AI29" s="28" t="str">
        <f>IF($B29="","",IF(AND(ISNUMBER('DATA ENTRY'!$U29),'DATA ENTRY'!$U29&lt;=0),"Negative equity — possible insolvency",IF(AND(ISNUMBER('DATA ENTRY'!$J29),'DATA ENTRY'!$J29&lt;0),"Loss position",IF(AND(ISNUMBER($P29),$P29&lt;1),"Current liabilities exceed current assets",IF(AND(ISNUMBER($T29),$T29&gt;2),"High leverage",IF(AND(ISNUMBER($Y29),$Y29&gt;120),"Slow receivables collection",IF(AND(ISNUMBER($AC29),$AC29&lt;0),"Negative working capital",IF(OR('DATA ENTRY'!$E29="Unaudited",'DATA ENTRY'!$E29="Banker Letter Only",'DATA ENTRY'!$E29="Management Accounts"),"Statement status limits weight on ratios","No major red flag from entered ratios"))))))))</f>
        <v/>
      </c>
    </row>
    <row r="30" spans="1:35">
      <c r="A30" s="13" t="str">
        <f>IF('DATA ENTRY'!$B30&lt;&gt;"",'DATA ENTRY'!$A30,"")</f>
        <v/>
      </c>
      <c r="B30" s="13" t="str">
        <f>IF('DATA ENTRY'!$B30&lt;&gt;"",'DATA ENTRY'!$B30,"")</f>
        <v/>
      </c>
      <c r="C30" s="13" t="str">
        <f>IF('DATA ENTRY'!$B30&lt;&gt;"",'DATA ENTRY'!$C30,"")</f>
        <v/>
      </c>
      <c r="D30" s="13" t="str">
        <f>IF('DATA ENTRY'!$B30&lt;&gt;"",'DATA ENTRY'!$D30,"")</f>
        <v/>
      </c>
      <c r="E30" s="13" t="str">
        <f>IF('DATA ENTRY'!$B30&lt;&gt;"",'DATA ENTRY'!$E30,"")</f>
        <v/>
      </c>
      <c r="F30" s="13" t="str">
        <f>IF($B30="","",IF('DATA ENTRY'!$Y30="Yes","Checked",IF('DATA ENTRY'!$Y30="No","Needs check","Not marked")))</f>
        <v/>
      </c>
      <c r="G30" s="22" t="str">
        <f>IF($B30="","",IF('DATA ENTRY'!$I30&lt;&gt;"",'DATA ENTRY'!$I30,IF(AND('DATA ENTRY'!$G30&lt;&gt;"",'DATA ENTRY'!$H30&lt;&gt;""),'DATA ENTRY'!$G30-'DATA ENTRY'!$H30,"")))</f>
        <v/>
      </c>
      <c r="H30" s="23" t="str">
        <f>IF(OR($B30="",$G30="",'DATA ENTRY'!$G30=""),"",IFERROR($G30/'DATA ENTRY'!$G30,""))</f>
        <v/>
      </c>
      <c r="I30" s="24" t="str">
        <f t="shared" si="0"/>
        <v/>
      </c>
      <c r="J30" s="23" t="str">
        <f>IF(OR($B30="",'DATA ENTRY'!$J30="",'DATA ENTRY'!$G30=""),"",IFERROR('DATA ENTRY'!$J30/'DATA ENTRY'!$G30,""))</f>
        <v/>
      </c>
      <c r="K30" s="24" t="str">
        <f t="shared" si="1"/>
        <v/>
      </c>
      <c r="L30" s="23" t="str">
        <f>IF(OR($B30="",'DATA ENTRY'!$J30="",'DATA ENTRY'!$Q30=""),"",IFERROR('DATA ENTRY'!$J30/'DATA ENTRY'!$Q30,""))</f>
        <v/>
      </c>
      <c r="M30" s="24" t="str">
        <f t="shared" si="2"/>
        <v/>
      </c>
      <c r="N30" s="23" t="str">
        <f>IF(OR($B30="",'DATA ENTRY'!$J30="",'DATA ENTRY'!$U30="",'DATA ENTRY'!$U30&lt;=0),"",IFERROR('DATA ENTRY'!$J30/'DATA ENTRY'!$U30,""))</f>
        <v/>
      </c>
      <c r="O30" s="24" t="str">
        <f>IF($B30="","",IF(OR('DATA ENTRY'!$J30="",'DATA ENTRY'!$U30=""),"Not entered",IF('DATA ENTRY'!$U30&lt;=0,"High-risk",IF($N30&gt;=0.15,"Strong",IF($N30&gt;=0.08,"Adequate",IF($N30&gt;=0,"Caution","High-risk"))))))</f>
        <v/>
      </c>
      <c r="P30" s="25" t="str">
        <f>IF(OR($B30="",'DATA ENTRY'!$K30="",'DATA ENTRY'!$R30=""),"",IFERROR('DATA ENTRY'!$K30/'DATA ENTRY'!$R30,""))</f>
        <v/>
      </c>
      <c r="Q30" s="24" t="str">
        <f t="shared" si="3"/>
        <v/>
      </c>
      <c r="R30" s="25" t="str">
        <f>IF(OR($B30="",'DATA ENTRY'!$K30="",'DATA ENTRY'!$R30=""),"",IFERROR(('DATA ENTRY'!$K30-IF('DATA ENTRY'!$O30="",0,'DATA ENTRY'!$O30))/'DATA ENTRY'!$R30,""))</f>
        <v/>
      </c>
      <c r="S30" s="24" t="str">
        <f t="shared" si="4"/>
        <v/>
      </c>
      <c r="T30" s="25" t="str">
        <f>IF(OR($B30="",'DATA ENTRY'!$T30="",'DATA ENTRY'!$U30="",'DATA ENTRY'!$U30&lt;=0),"",IFERROR('DATA ENTRY'!$T30/'DATA ENTRY'!$U30,""))</f>
        <v/>
      </c>
      <c r="U30" s="24" t="str">
        <f>IF($B30="","",IF(OR('DATA ENTRY'!$T30="",'DATA ENTRY'!$U30=""),"Not entered",IF('DATA ENTRY'!$U30&lt;=0,"High-risk",IF($T30&lt;=1,"Strong",IF($T30&lt;=1.5,"Adequate",IF($T30&lt;=2,"Caution","High-risk"))))))</f>
        <v/>
      </c>
      <c r="V30" s="23" t="str">
        <f>IF(OR($B30="",'DATA ENTRY'!$U30="",'DATA ENTRY'!$Q30=""),"",IFERROR('DATA ENTRY'!$U30/'DATA ENTRY'!$Q30,""))</f>
        <v/>
      </c>
      <c r="W30" s="24" t="str">
        <f t="shared" si="5"/>
        <v/>
      </c>
      <c r="X30" s="25" t="str">
        <f>IF(OR($B30="",'DATA ENTRY'!$G30="",'DATA ENTRY'!$M30=""),"",IF('DATA ENTRY'!$N30&lt;&gt;"",'DATA ENTRY'!$G30/AVERAGE('DATA ENTRY'!$M30,'DATA ENTRY'!$N30),IFERROR('DATA ENTRY'!$G30/'DATA ENTRY'!$M30,"")))</f>
        <v/>
      </c>
      <c r="Y30" s="26" t="str">
        <f t="shared" si="6"/>
        <v/>
      </c>
      <c r="Z30" s="24" t="str">
        <f t="shared" si="7"/>
        <v/>
      </c>
      <c r="AA30" s="25" t="str">
        <f>IF(OR($B30="",'DATA ENTRY'!$G30="",'DATA ENTRY'!$Q30=""),"",IFERROR('DATA ENTRY'!$G30/'DATA ENTRY'!$Q30,""))</f>
        <v/>
      </c>
      <c r="AB30" s="24" t="str">
        <f t="shared" si="8"/>
        <v/>
      </c>
      <c r="AC30" s="27" t="str">
        <f>IF(OR($B30="",'DATA ENTRY'!$K30="",'DATA ENTRY'!$R30=""),"",'DATA ENTRY'!$K30-'DATA ENTRY'!$R30)</f>
        <v/>
      </c>
      <c r="AD30" s="24" t="str">
        <f>IF($B30="","",IF($AC30="","Not entered",IF($AC30&lt;0,"High-risk",IF($AC30=0,"Caution",IF('DATA ENTRY'!$L30="","Adequate",IFERROR(IF('DATA ENTRY'!$L30/'DATA ENTRY'!$R30&gt;=0.25,"Strong","Adequate"),"Adequate"))))))</f>
        <v/>
      </c>
      <c r="AE30" s="25" t="str">
        <f>IF($B30="","",IF(OR('DATA ENTRY'!$W30="",'DATA ENTRY'!$W30=0),"N/A",IF('DATA ENTRY'!$V30="","",IFERROR('DATA ENTRY'!$V30/'DATA ENTRY'!$W30,""))))</f>
        <v/>
      </c>
      <c r="AF30" s="24" t="str">
        <f t="shared" si="9"/>
        <v/>
      </c>
      <c r="AG30" s="25" t="str">
        <f t="shared" si="10"/>
        <v/>
      </c>
      <c r="AH30" s="24" t="str">
        <f>IF($B30="","",IF(AND(ISNUMBER('DATA ENTRY'!$U30),'DATA ENTRY'!$U30&lt;=0),"Financially stretched",IF($AG30="","Insufficient data",IF(AND(ISNUMBER('DATA ENTRY'!$J30),'DATA ENTRY'!$J30&lt;0),IF($AG30&gt;=2,"Adequate with caution","Financially stretched"),IF($AG30&gt;=3.5,"Financially strong",IF($AG30&gt;=2.75,"Financially adequate",IF($AG30&gt;=2,"Adequate with caution","Financially stretched")))))))</f>
        <v/>
      </c>
      <c r="AI30" s="28" t="str">
        <f>IF($B30="","",IF(AND(ISNUMBER('DATA ENTRY'!$U30),'DATA ENTRY'!$U30&lt;=0),"Negative equity — possible insolvency",IF(AND(ISNUMBER('DATA ENTRY'!$J30),'DATA ENTRY'!$J30&lt;0),"Loss position",IF(AND(ISNUMBER($P30),$P30&lt;1),"Current liabilities exceed current assets",IF(AND(ISNUMBER($T30),$T30&gt;2),"High leverage",IF(AND(ISNUMBER($Y30),$Y30&gt;120),"Slow receivables collection",IF(AND(ISNUMBER($AC30),$AC30&lt;0),"Negative working capital",IF(OR('DATA ENTRY'!$E30="Unaudited",'DATA ENTRY'!$E30="Banker Letter Only",'DATA ENTRY'!$E30="Management Accounts"),"Statement status limits weight on ratios","No major red flag from entered ratios"))))))))</f>
        <v/>
      </c>
    </row>
    <row r="31" spans="1:35">
      <c r="A31" s="13" t="str">
        <f>IF('DATA ENTRY'!$B31&lt;&gt;"",'DATA ENTRY'!$A31,"")</f>
        <v/>
      </c>
      <c r="B31" s="13" t="str">
        <f>IF('DATA ENTRY'!$B31&lt;&gt;"",'DATA ENTRY'!$B31,"")</f>
        <v/>
      </c>
      <c r="C31" s="13" t="str">
        <f>IF('DATA ENTRY'!$B31&lt;&gt;"",'DATA ENTRY'!$C31,"")</f>
        <v/>
      </c>
      <c r="D31" s="13" t="str">
        <f>IF('DATA ENTRY'!$B31&lt;&gt;"",'DATA ENTRY'!$D31,"")</f>
        <v/>
      </c>
      <c r="E31" s="13" t="str">
        <f>IF('DATA ENTRY'!$B31&lt;&gt;"",'DATA ENTRY'!$E31,"")</f>
        <v/>
      </c>
      <c r="F31" s="13" t="str">
        <f>IF($B31="","",IF('DATA ENTRY'!$Y31="Yes","Checked",IF('DATA ENTRY'!$Y31="No","Needs check","Not marked")))</f>
        <v/>
      </c>
      <c r="G31" s="22" t="str">
        <f>IF($B31="","",IF('DATA ENTRY'!$I31&lt;&gt;"",'DATA ENTRY'!$I31,IF(AND('DATA ENTRY'!$G31&lt;&gt;"",'DATA ENTRY'!$H31&lt;&gt;""),'DATA ENTRY'!$G31-'DATA ENTRY'!$H31,"")))</f>
        <v/>
      </c>
      <c r="H31" s="23" t="str">
        <f>IF(OR($B31="",$G31="",'DATA ENTRY'!$G31=""),"",IFERROR($G31/'DATA ENTRY'!$G31,""))</f>
        <v/>
      </c>
      <c r="I31" s="24" t="str">
        <f t="shared" si="0"/>
        <v/>
      </c>
      <c r="J31" s="23" t="str">
        <f>IF(OR($B31="",'DATA ENTRY'!$J31="",'DATA ENTRY'!$G31=""),"",IFERROR('DATA ENTRY'!$J31/'DATA ENTRY'!$G31,""))</f>
        <v/>
      </c>
      <c r="K31" s="24" t="str">
        <f t="shared" si="1"/>
        <v/>
      </c>
      <c r="L31" s="23" t="str">
        <f>IF(OR($B31="",'DATA ENTRY'!$J31="",'DATA ENTRY'!$Q31=""),"",IFERROR('DATA ENTRY'!$J31/'DATA ENTRY'!$Q31,""))</f>
        <v/>
      </c>
      <c r="M31" s="24" t="str">
        <f t="shared" si="2"/>
        <v/>
      </c>
      <c r="N31" s="23" t="str">
        <f>IF(OR($B31="",'DATA ENTRY'!$J31="",'DATA ENTRY'!$U31="",'DATA ENTRY'!$U31&lt;=0),"",IFERROR('DATA ENTRY'!$J31/'DATA ENTRY'!$U31,""))</f>
        <v/>
      </c>
      <c r="O31" s="24" t="str">
        <f>IF($B31="","",IF(OR('DATA ENTRY'!$J31="",'DATA ENTRY'!$U31=""),"Not entered",IF('DATA ENTRY'!$U31&lt;=0,"High-risk",IF($N31&gt;=0.15,"Strong",IF($N31&gt;=0.08,"Adequate",IF($N31&gt;=0,"Caution","High-risk"))))))</f>
        <v/>
      </c>
      <c r="P31" s="25" t="str">
        <f>IF(OR($B31="",'DATA ENTRY'!$K31="",'DATA ENTRY'!$R31=""),"",IFERROR('DATA ENTRY'!$K31/'DATA ENTRY'!$R31,""))</f>
        <v/>
      </c>
      <c r="Q31" s="24" t="str">
        <f t="shared" si="3"/>
        <v/>
      </c>
      <c r="R31" s="25" t="str">
        <f>IF(OR($B31="",'DATA ENTRY'!$K31="",'DATA ENTRY'!$R31=""),"",IFERROR(('DATA ENTRY'!$K31-IF('DATA ENTRY'!$O31="",0,'DATA ENTRY'!$O31))/'DATA ENTRY'!$R31,""))</f>
        <v/>
      </c>
      <c r="S31" s="24" t="str">
        <f t="shared" si="4"/>
        <v/>
      </c>
      <c r="T31" s="25" t="str">
        <f>IF(OR($B31="",'DATA ENTRY'!$T31="",'DATA ENTRY'!$U31="",'DATA ENTRY'!$U31&lt;=0),"",IFERROR('DATA ENTRY'!$T31/'DATA ENTRY'!$U31,""))</f>
        <v/>
      </c>
      <c r="U31" s="24" t="str">
        <f>IF($B31="","",IF(OR('DATA ENTRY'!$T31="",'DATA ENTRY'!$U31=""),"Not entered",IF('DATA ENTRY'!$U31&lt;=0,"High-risk",IF($T31&lt;=1,"Strong",IF($T31&lt;=1.5,"Adequate",IF($T31&lt;=2,"Caution","High-risk"))))))</f>
        <v/>
      </c>
      <c r="V31" s="23" t="str">
        <f>IF(OR($B31="",'DATA ENTRY'!$U31="",'DATA ENTRY'!$Q31=""),"",IFERROR('DATA ENTRY'!$U31/'DATA ENTRY'!$Q31,""))</f>
        <v/>
      </c>
      <c r="W31" s="24" t="str">
        <f t="shared" si="5"/>
        <v/>
      </c>
      <c r="X31" s="25" t="str">
        <f>IF(OR($B31="",'DATA ENTRY'!$G31="",'DATA ENTRY'!$M31=""),"",IF('DATA ENTRY'!$N31&lt;&gt;"",'DATA ENTRY'!$G31/AVERAGE('DATA ENTRY'!$M31,'DATA ENTRY'!$N31),IFERROR('DATA ENTRY'!$G31/'DATA ENTRY'!$M31,"")))</f>
        <v/>
      </c>
      <c r="Y31" s="26" t="str">
        <f t="shared" si="6"/>
        <v/>
      </c>
      <c r="Z31" s="24" t="str">
        <f t="shared" si="7"/>
        <v/>
      </c>
      <c r="AA31" s="25" t="str">
        <f>IF(OR($B31="",'DATA ENTRY'!$G31="",'DATA ENTRY'!$Q31=""),"",IFERROR('DATA ENTRY'!$G31/'DATA ENTRY'!$Q31,""))</f>
        <v/>
      </c>
      <c r="AB31" s="24" t="str">
        <f t="shared" si="8"/>
        <v/>
      </c>
      <c r="AC31" s="27" t="str">
        <f>IF(OR($B31="",'DATA ENTRY'!$K31="",'DATA ENTRY'!$R31=""),"",'DATA ENTRY'!$K31-'DATA ENTRY'!$R31)</f>
        <v/>
      </c>
      <c r="AD31" s="24" t="str">
        <f>IF($B31="","",IF($AC31="","Not entered",IF($AC31&lt;0,"High-risk",IF($AC31=0,"Caution",IF('DATA ENTRY'!$L31="","Adequate",IFERROR(IF('DATA ENTRY'!$L31/'DATA ENTRY'!$R31&gt;=0.25,"Strong","Adequate"),"Adequate"))))))</f>
        <v/>
      </c>
      <c r="AE31" s="25" t="str">
        <f>IF($B31="","",IF(OR('DATA ENTRY'!$W31="",'DATA ENTRY'!$W31=0),"N/A",IF('DATA ENTRY'!$V31="","",IFERROR('DATA ENTRY'!$V31/'DATA ENTRY'!$W31,""))))</f>
        <v/>
      </c>
      <c r="AF31" s="24" t="str">
        <f t="shared" si="9"/>
        <v/>
      </c>
      <c r="AG31" s="25" t="str">
        <f t="shared" si="10"/>
        <v/>
      </c>
      <c r="AH31" s="24" t="str">
        <f>IF($B31="","",IF(AND(ISNUMBER('DATA ENTRY'!$U31),'DATA ENTRY'!$U31&lt;=0),"Financially stretched",IF($AG31="","Insufficient data",IF(AND(ISNUMBER('DATA ENTRY'!$J31),'DATA ENTRY'!$J31&lt;0),IF($AG31&gt;=2,"Adequate with caution","Financially stretched"),IF($AG31&gt;=3.5,"Financially strong",IF($AG31&gt;=2.75,"Financially adequate",IF($AG31&gt;=2,"Adequate with caution","Financially stretched")))))))</f>
        <v/>
      </c>
      <c r="AI31" s="28" t="str">
        <f>IF($B31="","",IF(AND(ISNUMBER('DATA ENTRY'!$U31),'DATA ENTRY'!$U31&lt;=0),"Negative equity — possible insolvency",IF(AND(ISNUMBER('DATA ENTRY'!$J31),'DATA ENTRY'!$J31&lt;0),"Loss position",IF(AND(ISNUMBER($P31),$P31&lt;1),"Current liabilities exceed current assets",IF(AND(ISNUMBER($T31),$T31&gt;2),"High leverage",IF(AND(ISNUMBER($Y31),$Y31&gt;120),"Slow receivables collection",IF(AND(ISNUMBER($AC31),$AC31&lt;0),"Negative working capital",IF(OR('DATA ENTRY'!$E31="Unaudited",'DATA ENTRY'!$E31="Banker Letter Only",'DATA ENTRY'!$E31="Management Accounts"),"Statement status limits weight on ratios","No major red flag from entered ratios"))))))))</f>
        <v/>
      </c>
    </row>
    <row r="32" spans="1:35">
      <c r="A32" s="13" t="str">
        <f>IF('DATA ENTRY'!$B32&lt;&gt;"",'DATA ENTRY'!$A32,"")</f>
        <v/>
      </c>
      <c r="B32" s="13" t="str">
        <f>IF('DATA ENTRY'!$B32&lt;&gt;"",'DATA ENTRY'!$B32,"")</f>
        <v/>
      </c>
      <c r="C32" s="13" t="str">
        <f>IF('DATA ENTRY'!$B32&lt;&gt;"",'DATA ENTRY'!$C32,"")</f>
        <v/>
      </c>
      <c r="D32" s="13" t="str">
        <f>IF('DATA ENTRY'!$B32&lt;&gt;"",'DATA ENTRY'!$D32,"")</f>
        <v/>
      </c>
      <c r="E32" s="13" t="str">
        <f>IF('DATA ENTRY'!$B32&lt;&gt;"",'DATA ENTRY'!$E32,"")</f>
        <v/>
      </c>
      <c r="F32" s="13" t="str">
        <f>IF($B32="","",IF('DATA ENTRY'!$Y32="Yes","Checked",IF('DATA ENTRY'!$Y32="No","Needs check","Not marked")))</f>
        <v/>
      </c>
      <c r="G32" s="22" t="str">
        <f>IF($B32="","",IF('DATA ENTRY'!$I32&lt;&gt;"",'DATA ENTRY'!$I32,IF(AND('DATA ENTRY'!$G32&lt;&gt;"",'DATA ENTRY'!$H32&lt;&gt;""),'DATA ENTRY'!$G32-'DATA ENTRY'!$H32,"")))</f>
        <v/>
      </c>
      <c r="H32" s="23" t="str">
        <f>IF(OR($B32="",$G32="",'DATA ENTRY'!$G32=""),"",IFERROR($G32/'DATA ENTRY'!$G32,""))</f>
        <v/>
      </c>
      <c r="I32" s="24" t="str">
        <f t="shared" si="0"/>
        <v/>
      </c>
      <c r="J32" s="23" t="str">
        <f>IF(OR($B32="",'DATA ENTRY'!$J32="",'DATA ENTRY'!$G32=""),"",IFERROR('DATA ENTRY'!$J32/'DATA ENTRY'!$G32,""))</f>
        <v/>
      </c>
      <c r="K32" s="24" t="str">
        <f t="shared" si="1"/>
        <v/>
      </c>
      <c r="L32" s="23" t="str">
        <f>IF(OR($B32="",'DATA ENTRY'!$J32="",'DATA ENTRY'!$Q32=""),"",IFERROR('DATA ENTRY'!$J32/'DATA ENTRY'!$Q32,""))</f>
        <v/>
      </c>
      <c r="M32" s="24" t="str">
        <f t="shared" si="2"/>
        <v/>
      </c>
      <c r="N32" s="23" t="str">
        <f>IF(OR($B32="",'DATA ENTRY'!$J32="",'DATA ENTRY'!$U32="",'DATA ENTRY'!$U32&lt;=0),"",IFERROR('DATA ENTRY'!$J32/'DATA ENTRY'!$U32,""))</f>
        <v/>
      </c>
      <c r="O32" s="24" t="str">
        <f>IF($B32="","",IF(OR('DATA ENTRY'!$J32="",'DATA ENTRY'!$U32=""),"Not entered",IF('DATA ENTRY'!$U32&lt;=0,"High-risk",IF($N32&gt;=0.15,"Strong",IF($N32&gt;=0.08,"Adequate",IF($N32&gt;=0,"Caution","High-risk"))))))</f>
        <v/>
      </c>
      <c r="P32" s="25" t="str">
        <f>IF(OR($B32="",'DATA ENTRY'!$K32="",'DATA ENTRY'!$R32=""),"",IFERROR('DATA ENTRY'!$K32/'DATA ENTRY'!$R32,""))</f>
        <v/>
      </c>
      <c r="Q32" s="24" t="str">
        <f t="shared" si="3"/>
        <v/>
      </c>
      <c r="R32" s="25" t="str">
        <f>IF(OR($B32="",'DATA ENTRY'!$K32="",'DATA ENTRY'!$R32=""),"",IFERROR(('DATA ENTRY'!$K32-IF('DATA ENTRY'!$O32="",0,'DATA ENTRY'!$O32))/'DATA ENTRY'!$R32,""))</f>
        <v/>
      </c>
      <c r="S32" s="24" t="str">
        <f t="shared" si="4"/>
        <v/>
      </c>
      <c r="T32" s="25" t="str">
        <f>IF(OR($B32="",'DATA ENTRY'!$T32="",'DATA ENTRY'!$U32="",'DATA ENTRY'!$U32&lt;=0),"",IFERROR('DATA ENTRY'!$T32/'DATA ENTRY'!$U32,""))</f>
        <v/>
      </c>
      <c r="U32" s="24" t="str">
        <f>IF($B32="","",IF(OR('DATA ENTRY'!$T32="",'DATA ENTRY'!$U32=""),"Not entered",IF('DATA ENTRY'!$U32&lt;=0,"High-risk",IF($T32&lt;=1,"Strong",IF($T32&lt;=1.5,"Adequate",IF($T32&lt;=2,"Caution","High-risk"))))))</f>
        <v/>
      </c>
      <c r="V32" s="23" t="str">
        <f>IF(OR($B32="",'DATA ENTRY'!$U32="",'DATA ENTRY'!$Q32=""),"",IFERROR('DATA ENTRY'!$U32/'DATA ENTRY'!$Q32,""))</f>
        <v/>
      </c>
      <c r="W32" s="24" t="str">
        <f t="shared" si="5"/>
        <v/>
      </c>
      <c r="X32" s="25" t="str">
        <f>IF(OR($B32="",'DATA ENTRY'!$G32="",'DATA ENTRY'!$M32=""),"",IF('DATA ENTRY'!$N32&lt;&gt;"",'DATA ENTRY'!$G32/AVERAGE('DATA ENTRY'!$M32,'DATA ENTRY'!$N32),IFERROR('DATA ENTRY'!$G32/'DATA ENTRY'!$M32,"")))</f>
        <v/>
      </c>
      <c r="Y32" s="26" t="str">
        <f t="shared" si="6"/>
        <v/>
      </c>
      <c r="Z32" s="24" t="str">
        <f t="shared" si="7"/>
        <v/>
      </c>
      <c r="AA32" s="25" t="str">
        <f>IF(OR($B32="",'DATA ENTRY'!$G32="",'DATA ENTRY'!$Q32=""),"",IFERROR('DATA ENTRY'!$G32/'DATA ENTRY'!$Q32,""))</f>
        <v/>
      </c>
      <c r="AB32" s="24" t="str">
        <f t="shared" si="8"/>
        <v/>
      </c>
      <c r="AC32" s="27" t="str">
        <f>IF(OR($B32="",'DATA ENTRY'!$K32="",'DATA ENTRY'!$R32=""),"",'DATA ENTRY'!$K32-'DATA ENTRY'!$R32)</f>
        <v/>
      </c>
      <c r="AD32" s="24" t="str">
        <f>IF($B32="","",IF($AC32="","Not entered",IF($AC32&lt;0,"High-risk",IF($AC32=0,"Caution",IF('DATA ENTRY'!$L32="","Adequate",IFERROR(IF('DATA ENTRY'!$L32/'DATA ENTRY'!$R32&gt;=0.25,"Strong","Adequate"),"Adequate"))))))</f>
        <v/>
      </c>
      <c r="AE32" s="25" t="str">
        <f>IF($B32="","",IF(OR('DATA ENTRY'!$W32="",'DATA ENTRY'!$W32=0),"N/A",IF('DATA ENTRY'!$V32="","",IFERROR('DATA ENTRY'!$V32/'DATA ENTRY'!$W32,""))))</f>
        <v/>
      </c>
      <c r="AF32" s="24" t="str">
        <f t="shared" si="9"/>
        <v/>
      </c>
      <c r="AG32" s="25" t="str">
        <f t="shared" si="10"/>
        <v/>
      </c>
      <c r="AH32" s="24" t="str">
        <f>IF($B32="","",IF(AND(ISNUMBER('DATA ENTRY'!$U32),'DATA ENTRY'!$U32&lt;=0),"Financially stretched",IF($AG32="","Insufficient data",IF(AND(ISNUMBER('DATA ENTRY'!$J32),'DATA ENTRY'!$J32&lt;0),IF($AG32&gt;=2,"Adequate with caution","Financially stretched"),IF($AG32&gt;=3.5,"Financially strong",IF($AG32&gt;=2.75,"Financially adequate",IF($AG32&gt;=2,"Adequate with caution","Financially stretched")))))))</f>
        <v/>
      </c>
      <c r="AI32" s="28" t="str">
        <f>IF($B32="","",IF(AND(ISNUMBER('DATA ENTRY'!$U32),'DATA ENTRY'!$U32&lt;=0),"Negative equity — possible insolvency",IF(AND(ISNUMBER('DATA ENTRY'!$J32),'DATA ENTRY'!$J32&lt;0),"Loss position",IF(AND(ISNUMBER($P32),$P32&lt;1),"Current liabilities exceed current assets",IF(AND(ISNUMBER($T32),$T32&gt;2),"High leverage",IF(AND(ISNUMBER($Y32),$Y32&gt;120),"Slow receivables collection",IF(AND(ISNUMBER($AC32),$AC32&lt;0),"Negative working capital",IF(OR('DATA ENTRY'!$E32="Unaudited",'DATA ENTRY'!$E32="Banker Letter Only",'DATA ENTRY'!$E32="Management Accounts"),"Statement status limits weight on ratios","No major red flag from entered ratios"))))))))</f>
        <v/>
      </c>
    </row>
    <row r="33" spans="1:35">
      <c r="A33" s="13" t="str">
        <f>IF('DATA ENTRY'!$B33&lt;&gt;"",'DATA ENTRY'!$A33,"")</f>
        <v/>
      </c>
      <c r="B33" s="13" t="str">
        <f>IF('DATA ENTRY'!$B33&lt;&gt;"",'DATA ENTRY'!$B33,"")</f>
        <v/>
      </c>
      <c r="C33" s="13" t="str">
        <f>IF('DATA ENTRY'!$B33&lt;&gt;"",'DATA ENTRY'!$C33,"")</f>
        <v/>
      </c>
      <c r="D33" s="13" t="str">
        <f>IF('DATA ENTRY'!$B33&lt;&gt;"",'DATA ENTRY'!$D33,"")</f>
        <v/>
      </c>
      <c r="E33" s="13" t="str">
        <f>IF('DATA ENTRY'!$B33&lt;&gt;"",'DATA ENTRY'!$E33,"")</f>
        <v/>
      </c>
      <c r="F33" s="13" t="str">
        <f>IF($B33="","",IF('DATA ENTRY'!$Y33="Yes","Checked",IF('DATA ENTRY'!$Y33="No","Needs check","Not marked")))</f>
        <v/>
      </c>
      <c r="G33" s="22" t="str">
        <f>IF($B33="","",IF('DATA ENTRY'!$I33&lt;&gt;"",'DATA ENTRY'!$I33,IF(AND('DATA ENTRY'!$G33&lt;&gt;"",'DATA ENTRY'!$H33&lt;&gt;""),'DATA ENTRY'!$G33-'DATA ENTRY'!$H33,"")))</f>
        <v/>
      </c>
      <c r="H33" s="23" t="str">
        <f>IF(OR($B33="",$G33="",'DATA ENTRY'!$G33=""),"",IFERROR($G33/'DATA ENTRY'!$G33,""))</f>
        <v/>
      </c>
      <c r="I33" s="24" t="str">
        <f t="shared" si="0"/>
        <v/>
      </c>
      <c r="J33" s="23" t="str">
        <f>IF(OR($B33="",'DATA ENTRY'!$J33="",'DATA ENTRY'!$G33=""),"",IFERROR('DATA ENTRY'!$J33/'DATA ENTRY'!$G33,""))</f>
        <v/>
      </c>
      <c r="K33" s="24" t="str">
        <f t="shared" si="1"/>
        <v/>
      </c>
      <c r="L33" s="23" t="str">
        <f>IF(OR($B33="",'DATA ENTRY'!$J33="",'DATA ENTRY'!$Q33=""),"",IFERROR('DATA ENTRY'!$J33/'DATA ENTRY'!$Q33,""))</f>
        <v/>
      </c>
      <c r="M33" s="24" t="str">
        <f t="shared" si="2"/>
        <v/>
      </c>
      <c r="N33" s="23" t="str">
        <f>IF(OR($B33="",'DATA ENTRY'!$J33="",'DATA ENTRY'!$U33="",'DATA ENTRY'!$U33&lt;=0),"",IFERROR('DATA ENTRY'!$J33/'DATA ENTRY'!$U33,""))</f>
        <v/>
      </c>
      <c r="O33" s="24" t="str">
        <f>IF($B33="","",IF(OR('DATA ENTRY'!$J33="",'DATA ENTRY'!$U33=""),"Not entered",IF('DATA ENTRY'!$U33&lt;=0,"High-risk",IF($N33&gt;=0.15,"Strong",IF($N33&gt;=0.08,"Adequate",IF($N33&gt;=0,"Caution","High-risk"))))))</f>
        <v/>
      </c>
      <c r="P33" s="25" t="str">
        <f>IF(OR($B33="",'DATA ENTRY'!$K33="",'DATA ENTRY'!$R33=""),"",IFERROR('DATA ENTRY'!$K33/'DATA ENTRY'!$R33,""))</f>
        <v/>
      </c>
      <c r="Q33" s="24" t="str">
        <f t="shared" si="3"/>
        <v/>
      </c>
      <c r="R33" s="25" t="str">
        <f>IF(OR($B33="",'DATA ENTRY'!$K33="",'DATA ENTRY'!$R33=""),"",IFERROR(('DATA ENTRY'!$K33-IF('DATA ENTRY'!$O33="",0,'DATA ENTRY'!$O33))/'DATA ENTRY'!$R33,""))</f>
        <v/>
      </c>
      <c r="S33" s="24" t="str">
        <f t="shared" si="4"/>
        <v/>
      </c>
      <c r="T33" s="25" t="str">
        <f>IF(OR($B33="",'DATA ENTRY'!$T33="",'DATA ENTRY'!$U33="",'DATA ENTRY'!$U33&lt;=0),"",IFERROR('DATA ENTRY'!$T33/'DATA ENTRY'!$U33,""))</f>
        <v/>
      </c>
      <c r="U33" s="24" t="str">
        <f>IF($B33="","",IF(OR('DATA ENTRY'!$T33="",'DATA ENTRY'!$U33=""),"Not entered",IF('DATA ENTRY'!$U33&lt;=0,"High-risk",IF($T33&lt;=1,"Strong",IF($T33&lt;=1.5,"Adequate",IF($T33&lt;=2,"Caution","High-risk"))))))</f>
        <v/>
      </c>
      <c r="V33" s="23" t="str">
        <f>IF(OR($B33="",'DATA ENTRY'!$U33="",'DATA ENTRY'!$Q33=""),"",IFERROR('DATA ENTRY'!$U33/'DATA ENTRY'!$Q33,""))</f>
        <v/>
      </c>
      <c r="W33" s="24" t="str">
        <f t="shared" si="5"/>
        <v/>
      </c>
      <c r="X33" s="25" t="str">
        <f>IF(OR($B33="",'DATA ENTRY'!$G33="",'DATA ENTRY'!$M33=""),"",IF('DATA ENTRY'!$N33&lt;&gt;"",'DATA ENTRY'!$G33/AVERAGE('DATA ENTRY'!$M33,'DATA ENTRY'!$N33),IFERROR('DATA ENTRY'!$G33/'DATA ENTRY'!$M33,"")))</f>
        <v/>
      </c>
      <c r="Y33" s="26" t="str">
        <f t="shared" si="6"/>
        <v/>
      </c>
      <c r="Z33" s="24" t="str">
        <f t="shared" si="7"/>
        <v/>
      </c>
      <c r="AA33" s="25" t="str">
        <f>IF(OR($B33="",'DATA ENTRY'!$G33="",'DATA ENTRY'!$Q33=""),"",IFERROR('DATA ENTRY'!$G33/'DATA ENTRY'!$Q33,""))</f>
        <v/>
      </c>
      <c r="AB33" s="24" t="str">
        <f t="shared" si="8"/>
        <v/>
      </c>
      <c r="AC33" s="27" t="str">
        <f>IF(OR($B33="",'DATA ENTRY'!$K33="",'DATA ENTRY'!$R33=""),"",'DATA ENTRY'!$K33-'DATA ENTRY'!$R33)</f>
        <v/>
      </c>
      <c r="AD33" s="24" t="str">
        <f>IF($B33="","",IF($AC33="","Not entered",IF($AC33&lt;0,"High-risk",IF($AC33=0,"Caution",IF('DATA ENTRY'!$L33="","Adequate",IFERROR(IF('DATA ENTRY'!$L33/'DATA ENTRY'!$R33&gt;=0.25,"Strong","Adequate"),"Adequate"))))))</f>
        <v/>
      </c>
      <c r="AE33" s="25" t="str">
        <f>IF($B33="","",IF(OR('DATA ENTRY'!$W33="",'DATA ENTRY'!$W33=0),"N/A",IF('DATA ENTRY'!$V33="","",IFERROR('DATA ENTRY'!$V33/'DATA ENTRY'!$W33,""))))</f>
        <v/>
      </c>
      <c r="AF33" s="24" t="str">
        <f t="shared" si="9"/>
        <v/>
      </c>
      <c r="AG33" s="25" t="str">
        <f t="shared" si="10"/>
        <v/>
      </c>
      <c r="AH33" s="24" t="str">
        <f>IF($B33="","",IF(AND(ISNUMBER('DATA ENTRY'!$U33),'DATA ENTRY'!$U33&lt;=0),"Financially stretched",IF($AG33="","Insufficient data",IF(AND(ISNUMBER('DATA ENTRY'!$J33),'DATA ENTRY'!$J33&lt;0),IF($AG33&gt;=2,"Adequate with caution","Financially stretched"),IF($AG33&gt;=3.5,"Financially strong",IF($AG33&gt;=2.75,"Financially adequate",IF($AG33&gt;=2,"Adequate with caution","Financially stretched")))))))</f>
        <v/>
      </c>
      <c r="AI33" s="28" t="str">
        <f>IF($B33="","",IF(AND(ISNUMBER('DATA ENTRY'!$U33),'DATA ENTRY'!$U33&lt;=0),"Negative equity — possible insolvency",IF(AND(ISNUMBER('DATA ENTRY'!$J33),'DATA ENTRY'!$J33&lt;0),"Loss position",IF(AND(ISNUMBER($P33),$P33&lt;1),"Current liabilities exceed current assets",IF(AND(ISNUMBER($T33),$T33&gt;2),"High leverage",IF(AND(ISNUMBER($Y33),$Y33&gt;120),"Slow receivables collection",IF(AND(ISNUMBER($AC33),$AC33&lt;0),"Negative working capital",IF(OR('DATA ENTRY'!$E33="Unaudited",'DATA ENTRY'!$E33="Banker Letter Only",'DATA ENTRY'!$E33="Management Accounts"),"Statement status limits weight on ratios","No major red flag from entered ratios"))))))))</f>
        <v/>
      </c>
    </row>
    <row r="34" spans="1:35">
      <c r="A34" s="13" t="str">
        <f>IF('DATA ENTRY'!$B34&lt;&gt;"",'DATA ENTRY'!$A34,"")</f>
        <v/>
      </c>
      <c r="B34" s="13" t="str">
        <f>IF('DATA ENTRY'!$B34&lt;&gt;"",'DATA ENTRY'!$B34,"")</f>
        <v/>
      </c>
      <c r="C34" s="13" t="str">
        <f>IF('DATA ENTRY'!$B34&lt;&gt;"",'DATA ENTRY'!$C34,"")</f>
        <v/>
      </c>
      <c r="D34" s="13" t="str">
        <f>IF('DATA ENTRY'!$B34&lt;&gt;"",'DATA ENTRY'!$D34,"")</f>
        <v/>
      </c>
      <c r="E34" s="13" t="str">
        <f>IF('DATA ENTRY'!$B34&lt;&gt;"",'DATA ENTRY'!$E34,"")</f>
        <v/>
      </c>
      <c r="F34" s="13" t="str">
        <f>IF($B34="","",IF('DATA ENTRY'!$Y34="Yes","Checked",IF('DATA ENTRY'!$Y34="No","Needs check","Not marked")))</f>
        <v/>
      </c>
      <c r="G34" s="22" t="str">
        <f>IF($B34="","",IF('DATA ENTRY'!$I34&lt;&gt;"",'DATA ENTRY'!$I34,IF(AND('DATA ENTRY'!$G34&lt;&gt;"",'DATA ENTRY'!$H34&lt;&gt;""),'DATA ENTRY'!$G34-'DATA ENTRY'!$H34,"")))</f>
        <v/>
      </c>
      <c r="H34" s="23" t="str">
        <f>IF(OR($B34="",$G34="",'DATA ENTRY'!$G34=""),"",IFERROR($G34/'DATA ENTRY'!$G34,""))</f>
        <v/>
      </c>
      <c r="I34" s="24" t="str">
        <f t="shared" si="0"/>
        <v/>
      </c>
      <c r="J34" s="23" t="str">
        <f>IF(OR($B34="",'DATA ENTRY'!$J34="",'DATA ENTRY'!$G34=""),"",IFERROR('DATA ENTRY'!$J34/'DATA ENTRY'!$G34,""))</f>
        <v/>
      </c>
      <c r="K34" s="24" t="str">
        <f t="shared" si="1"/>
        <v/>
      </c>
      <c r="L34" s="23" t="str">
        <f>IF(OR($B34="",'DATA ENTRY'!$J34="",'DATA ENTRY'!$Q34=""),"",IFERROR('DATA ENTRY'!$J34/'DATA ENTRY'!$Q34,""))</f>
        <v/>
      </c>
      <c r="M34" s="24" t="str">
        <f t="shared" si="2"/>
        <v/>
      </c>
      <c r="N34" s="23" t="str">
        <f>IF(OR($B34="",'DATA ENTRY'!$J34="",'DATA ENTRY'!$U34="",'DATA ENTRY'!$U34&lt;=0),"",IFERROR('DATA ENTRY'!$J34/'DATA ENTRY'!$U34,""))</f>
        <v/>
      </c>
      <c r="O34" s="24" t="str">
        <f>IF($B34="","",IF(OR('DATA ENTRY'!$J34="",'DATA ENTRY'!$U34=""),"Not entered",IF('DATA ENTRY'!$U34&lt;=0,"High-risk",IF($N34&gt;=0.15,"Strong",IF($N34&gt;=0.08,"Adequate",IF($N34&gt;=0,"Caution","High-risk"))))))</f>
        <v/>
      </c>
      <c r="P34" s="25" t="str">
        <f>IF(OR($B34="",'DATA ENTRY'!$K34="",'DATA ENTRY'!$R34=""),"",IFERROR('DATA ENTRY'!$K34/'DATA ENTRY'!$R34,""))</f>
        <v/>
      </c>
      <c r="Q34" s="24" t="str">
        <f t="shared" si="3"/>
        <v/>
      </c>
      <c r="R34" s="25" t="str">
        <f>IF(OR($B34="",'DATA ENTRY'!$K34="",'DATA ENTRY'!$R34=""),"",IFERROR(('DATA ENTRY'!$K34-IF('DATA ENTRY'!$O34="",0,'DATA ENTRY'!$O34))/'DATA ENTRY'!$R34,""))</f>
        <v/>
      </c>
      <c r="S34" s="24" t="str">
        <f t="shared" si="4"/>
        <v/>
      </c>
      <c r="T34" s="25" t="str">
        <f>IF(OR($B34="",'DATA ENTRY'!$T34="",'DATA ENTRY'!$U34="",'DATA ENTRY'!$U34&lt;=0),"",IFERROR('DATA ENTRY'!$T34/'DATA ENTRY'!$U34,""))</f>
        <v/>
      </c>
      <c r="U34" s="24" t="str">
        <f>IF($B34="","",IF(OR('DATA ENTRY'!$T34="",'DATA ENTRY'!$U34=""),"Not entered",IF('DATA ENTRY'!$U34&lt;=0,"High-risk",IF($T34&lt;=1,"Strong",IF($T34&lt;=1.5,"Adequate",IF($T34&lt;=2,"Caution","High-risk"))))))</f>
        <v/>
      </c>
      <c r="V34" s="23" t="str">
        <f>IF(OR($B34="",'DATA ENTRY'!$U34="",'DATA ENTRY'!$Q34=""),"",IFERROR('DATA ENTRY'!$U34/'DATA ENTRY'!$Q34,""))</f>
        <v/>
      </c>
      <c r="W34" s="24" t="str">
        <f t="shared" si="5"/>
        <v/>
      </c>
      <c r="X34" s="25" t="str">
        <f>IF(OR($B34="",'DATA ENTRY'!$G34="",'DATA ENTRY'!$M34=""),"",IF('DATA ENTRY'!$N34&lt;&gt;"",'DATA ENTRY'!$G34/AVERAGE('DATA ENTRY'!$M34,'DATA ENTRY'!$N34),IFERROR('DATA ENTRY'!$G34/'DATA ENTRY'!$M34,"")))</f>
        <v/>
      </c>
      <c r="Y34" s="26" t="str">
        <f t="shared" si="6"/>
        <v/>
      </c>
      <c r="Z34" s="24" t="str">
        <f t="shared" si="7"/>
        <v/>
      </c>
      <c r="AA34" s="25" t="str">
        <f>IF(OR($B34="",'DATA ENTRY'!$G34="",'DATA ENTRY'!$Q34=""),"",IFERROR('DATA ENTRY'!$G34/'DATA ENTRY'!$Q34,""))</f>
        <v/>
      </c>
      <c r="AB34" s="24" t="str">
        <f t="shared" si="8"/>
        <v/>
      </c>
      <c r="AC34" s="27" t="str">
        <f>IF(OR($B34="",'DATA ENTRY'!$K34="",'DATA ENTRY'!$R34=""),"",'DATA ENTRY'!$K34-'DATA ENTRY'!$R34)</f>
        <v/>
      </c>
      <c r="AD34" s="24" t="str">
        <f>IF($B34="","",IF($AC34="","Not entered",IF($AC34&lt;0,"High-risk",IF($AC34=0,"Caution",IF('DATA ENTRY'!$L34="","Adequate",IFERROR(IF('DATA ENTRY'!$L34/'DATA ENTRY'!$R34&gt;=0.25,"Strong","Adequate"),"Adequate"))))))</f>
        <v/>
      </c>
      <c r="AE34" s="25" t="str">
        <f>IF($B34="","",IF(OR('DATA ENTRY'!$W34="",'DATA ENTRY'!$W34=0),"N/A",IF('DATA ENTRY'!$V34="","",IFERROR('DATA ENTRY'!$V34/'DATA ENTRY'!$W34,""))))</f>
        <v/>
      </c>
      <c r="AF34" s="24" t="str">
        <f t="shared" si="9"/>
        <v/>
      </c>
      <c r="AG34" s="25" t="str">
        <f t="shared" si="10"/>
        <v/>
      </c>
      <c r="AH34" s="24" t="str">
        <f>IF($B34="","",IF(AND(ISNUMBER('DATA ENTRY'!$U34),'DATA ENTRY'!$U34&lt;=0),"Financially stretched",IF($AG34="","Insufficient data",IF(AND(ISNUMBER('DATA ENTRY'!$J34),'DATA ENTRY'!$J34&lt;0),IF($AG34&gt;=2,"Adequate with caution","Financially stretched"),IF($AG34&gt;=3.5,"Financially strong",IF($AG34&gt;=2.75,"Financially adequate",IF($AG34&gt;=2,"Adequate with caution","Financially stretched")))))))</f>
        <v/>
      </c>
      <c r="AI34" s="28" t="str">
        <f>IF($B34="","",IF(AND(ISNUMBER('DATA ENTRY'!$U34),'DATA ENTRY'!$U34&lt;=0),"Negative equity — possible insolvency",IF(AND(ISNUMBER('DATA ENTRY'!$J34),'DATA ENTRY'!$J34&lt;0),"Loss position",IF(AND(ISNUMBER($P34),$P34&lt;1),"Current liabilities exceed current assets",IF(AND(ISNUMBER($T34),$T34&gt;2),"High leverage",IF(AND(ISNUMBER($Y34),$Y34&gt;120),"Slow receivables collection",IF(AND(ISNUMBER($AC34),$AC34&lt;0),"Negative working capital",IF(OR('DATA ENTRY'!$E34="Unaudited",'DATA ENTRY'!$E34="Banker Letter Only",'DATA ENTRY'!$E34="Management Accounts"),"Statement status limits weight on ratios","No major red flag from entered ratios"))))))))</f>
        <v/>
      </c>
    </row>
    <row r="35" spans="1:35">
      <c r="A35" s="13" t="str">
        <f>IF('DATA ENTRY'!$B35&lt;&gt;"",'DATA ENTRY'!$A35,"")</f>
        <v/>
      </c>
      <c r="B35" s="13" t="str">
        <f>IF('DATA ENTRY'!$B35&lt;&gt;"",'DATA ENTRY'!$B35,"")</f>
        <v/>
      </c>
      <c r="C35" s="13" t="str">
        <f>IF('DATA ENTRY'!$B35&lt;&gt;"",'DATA ENTRY'!$C35,"")</f>
        <v/>
      </c>
      <c r="D35" s="13" t="str">
        <f>IF('DATA ENTRY'!$B35&lt;&gt;"",'DATA ENTRY'!$D35,"")</f>
        <v/>
      </c>
      <c r="E35" s="13" t="str">
        <f>IF('DATA ENTRY'!$B35&lt;&gt;"",'DATA ENTRY'!$E35,"")</f>
        <v/>
      </c>
      <c r="F35" s="13" t="str">
        <f>IF($B35="","",IF('DATA ENTRY'!$Y35="Yes","Checked",IF('DATA ENTRY'!$Y35="No","Needs check","Not marked")))</f>
        <v/>
      </c>
      <c r="G35" s="22" t="str">
        <f>IF($B35="","",IF('DATA ENTRY'!$I35&lt;&gt;"",'DATA ENTRY'!$I35,IF(AND('DATA ENTRY'!$G35&lt;&gt;"",'DATA ENTRY'!$H35&lt;&gt;""),'DATA ENTRY'!$G35-'DATA ENTRY'!$H35,"")))</f>
        <v/>
      </c>
      <c r="H35" s="23" t="str">
        <f>IF(OR($B35="",$G35="",'DATA ENTRY'!$G35=""),"",IFERROR($G35/'DATA ENTRY'!$G35,""))</f>
        <v/>
      </c>
      <c r="I35" s="24" t="str">
        <f t="shared" si="0"/>
        <v/>
      </c>
      <c r="J35" s="23" t="str">
        <f>IF(OR($B35="",'DATA ENTRY'!$J35="",'DATA ENTRY'!$G35=""),"",IFERROR('DATA ENTRY'!$J35/'DATA ENTRY'!$G35,""))</f>
        <v/>
      </c>
      <c r="K35" s="24" t="str">
        <f t="shared" si="1"/>
        <v/>
      </c>
      <c r="L35" s="23" t="str">
        <f>IF(OR($B35="",'DATA ENTRY'!$J35="",'DATA ENTRY'!$Q35=""),"",IFERROR('DATA ENTRY'!$J35/'DATA ENTRY'!$Q35,""))</f>
        <v/>
      </c>
      <c r="M35" s="24" t="str">
        <f t="shared" si="2"/>
        <v/>
      </c>
      <c r="N35" s="23" t="str">
        <f>IF(OR($B35="",'DATA ENTRY'!$J35="",'DATA ENTRY'!$U35="",'DATA ENTRY'!$U35&lt;=0),"",IFERROR('DATA ENTRY'!$J35/'DATA ENTRY'!$U35,""))</f>
        <v/>
      </c>
      <c r="O35" s="24" t="str">
        <f>IF($B35="","",IF(OR('DATA ENTRY'!$J35="",'DATA ENTRY'!$U35=""),"Not entered",IF('DATA ENTRY'!$U35&lt;=0,"High-risk",IF($N35&gt;=0.15,"Strong",IF($N35&gt;=0.08,"Adequate",IF($N35&gt;=0,"Caution","High-risk"))))))</f>
        <v/>
      </c>
      <c r="P35" s="25" t="str">
        <f>IF(OR($B35="",'DATA ENTRY'!$K35="",'DATA ENTRY'!$R35=""),"",IFERROR('DATA ENTRY'!$K35/'DATA ENTRY'!$R35,""))</f>
        <v/>
      </c>
      <c r="Q35" s="24" t="str">
        <f t="shared" si="3"/>
        <v/>
      </c>
      <c r="R35" s="25" t="str">
        <f>IF(OR($B35="",'DATA ENTRY'!$K35="",'DATA ENTRY'!$R35=""),"",IFERROR(('DATA ENTRY'!$K35-IF('DATA ENTRY'!$O35="",0,'DATA ENTRY'!$O35))/'DATA ENTRY'!$R35,""))</f>
        <v/>
      </c>
      <c r="S35" s="24" t="str">
        <f t="shared" si="4"/>
        <v/>
      </c>
      <c r="T35" s="25" t="str">
        <f>IF(OR($B35="",'DATA ENTRY'!$T35="",'DATA ENTRY'!$U35="",'DATA ENTRY'!$U35&lt;=0),"",IFERROR('DATA ENTRY'!$T35/'DATA ENTRY'!$U35,""))</f>
        <v/>
      </c>
      <c r="U35" s="24" t="str">
        <f>IF($B35="","",IF(OR('DATA ENTRY'!$T35="",'DATA ENTRY'!$U35=""),"Not entered",IF('DATA ENTRY'!$U35&lt;=0,"High-risk",IF($T35&lt;=1,"Strong",IF($T35&lt;=1.5,"Adequate",IF($T35&lt;=2,"Caution","High-risk"))))))</f>
        <v/>
      </c>
      <c r="V35" s="23" t="str">
        <f>IF(OR($B35="",'DATA ENTRY'!$U35="",'DATA ENTRY'!$Q35=""),"",IFERROR('DATA ENTRY'!$U35/'DATA ENTRY'!$Q35,""))</f>
        <v/>
      </c>
      <c r="W35" s="24" t="str">
        <f t="shared" si="5"/>
        <v/>
      </c>
      <c r="X35" s="25" t="str">
        <f>IF(OR($B35="",'DATA ENTRY'!$G35="",'DATA ENTRY'!$M35=""),"",IF('DATA ENTRY'!$N35&lt;&gt;"",'DATA ENTRY'!$G35/AVERAGE('DATA ENTRY'!$M35,'DATA ENTRY'!$N35),IFERROR('DATA ENTRY'!$G35/'DATA ENTRY'!$M35,"")))</f>
        <v/>
      </c>
      <c r="Y35" s="26" t="str">
        <f t="shared" si="6"/>
        <v/>
      </c>
      <c r="Z35" s="24" t="str">
        <f t="shared" si="7"/>
        <v/>
      </c>
      <c r="AA35" s="25" t="str">
        <f>IF(OR($B35="",'DATA ENTRY'!$G35="",'DATA ENTRY'!$Q35=""),"",IFERROR('DATA ENTRY'!$G35/'DATA ENTRY'!$Q35,""))</f>
        <v/>
      </c>
      <c r="AB35" s="24" t="str">
        <f t="shared" si="8"/>
        <v/>
      </c>
      <c r="AC35" s="27" t="str">
        <f>IF(OR($B35="",'DATA ENTRY'!$K35="",'DATA ENTRY'!$R35=""),"",'DATA ENTRY'!$K35-'DATA ENTRY'!$R35)</f>
        <v/>
      </c>
      <c r="AD35" s="24" t="str">
        <f>IF($B35="","",IF($AC35="","Not entered",IF($AC35&lt;0,"High-risk",IF($AC35=0,"Caution",IF('DATA ENTRY'!$L35="","Adequate",IFERROR(IF('DATA ENTRY'!$L35/'DATA ENTRY'!$R35&gt;=0.25,"Strong","Adequate"),"Adequate"))))))</f>
        <v/>
      </c>
      <c r="AE35" s="25" t="str">
        <f>IF($B35="","",IF(OR('DATA ENTRY'!$W35="",'DATA ENTRY'!$W35=0),"N/A",IF('DATA ENTRY'!$V35="","",IFERROR('DATA ENTRY'!$V35/'DATA ENTRY'!$W35,""))))</f>
        <v/>
      </c>
      <c r="AF35" s="24" t="str">
        <f t="shared" si="9"/>
        <v/>
      </c>
      <c r="AG35" s="25" t="str">
        <f t="shared" si="10"/>
        <v/>
      </c>
      <c r="AH35" s="24" t="str">
        <f>IF($B35="","",IF(AND(ISNUMBER('DATA ENTRY'!$U35),'DATA ENTRY'!$U35&lt;=0),"Financially stretched",IF($AG35="","Insufficient data",IF(AND(ISNUMBER('DATA ENTRY'!$J35),'DATA ENTRY'!$J35&lt;0),IF($AG35&gt;=2,"Adequate with caution","Financially stretched"),IF($AG35&gt;=3.5,"Financially strong",IF($AG35&gt;=2.75,"Financially adequate",IF($AG35&gt;=2,"Adequate with caution","Financially stretched")))))))</f>
        <v/>
      </c>
      <c r="AI35" s="28" t="str">
        <f>IF($B35="","",IF(AND(ISNUMBER('DATA ENTRY'!$U35),'DATA ENTRY'!$U35&lt;=0),"Negative equity — possible insolvency",IF(AND(ISNUMBER('DATA ENTRY'!$J35),'DATA ENTRY'!$J35&lt;0),"Loss position",IF(AND(ISNUMBER($P35),$P35&lt;1),"Current liabilities exceed current assets",IF(AND(ISNUMBER($T35),$T35&gt;2),"High leverage",IF(AND(ISNUMBER($Y35),$Y35&gt;120),"Slow receivables collection",IF(AND(ISNUMBER($AC35),$AC35&lt;0),"Negative working capital",IF(OR('DATA ENTRY'!$E35="Unaudited",'DATA ENTRY'!$E35="Banker Letter Only",'DATA ENTRY'!$E35="Management Accounts"),"Statement status limits weight on ratios","No major red flag from entered ratios"))))))))</f>
        <v/>
      </c>
    </row>
  </sheetData>
  <mergeCells count="2">
    <mergeCell ref="A1:AI1"/>
    <mergeCell ref="A2:AI3"/>
  </mergeCells>
  <conditionalFormatting sqref="I6:I35">
    <cfRule type="cellIs" dxfId="60" priority="2" operator="equal">
      <formula>"Strong"</formula>
    </cfRule>
    <cfRule type="cellIs" dxfId="60" priority="3" operator="equal">
      <formula>"Financially strong"</formula>
    </cfRule>
    <cfRule type="cellIs" dxfId="61" priority="4" operator="equal">
      <formula>"Adequate"</formula>
    </cfRule>
    <cfRule type="cellIs" dxfId="61" priority="5" operator="equal">
      <formula>"Financially adequate"</formula>
    </cfRule>
    <cfRule type="cellIs" dxfId="62" priority="6" operator="equal">
      <formula>"Caution"</formula>
    </cfRule>
    <cfRule type="cellIs" dxfId="62" priority="7" operator="equal">
      <formula>"Adequate with caution"</formula>
    </cfRule>
    <cfRule type="cellIs" dxfId="63" priority="8" operator="equal">
      <formula>"High-risk"</formula>
    </cfRule>
    <cfRule type="cellIs" dxfId="63" priority="9" operator="equal">
      <formula>"Financially stretched"</formula>
    </cfRule>
    <cfRule type="cellIs" dxfId="64" priority="10" operator="equal">
      <formula>"Not entered"</formula>
    </cfRule>
    <cfRule type="cellIs" dxfId="64" priority="11" operator="equal">
      <formula>"Not applicable"</formula>
    </cfRule>
    <cfRule type="cellIs" dxfId="64" priority="12" operator="equal">
      <formula>"Insufficient data"</formula>
    </cfRule>
  </conditionalFormatting>
  <conditionalFormatting sqref="K6:K35">
    <cfRule type="cellIs" dxfId="60" priority="13" operator="equal">
      <formula>"Strong"</formula>
    </cfRule>
    <cfRule type="cellIs" dxfId="60" priority="14" operator="equal">
      <formula>"Financially strong"</formula>
    </cfRule>
    <cfRule type="cellIs" dxfId="61" priority="15" operator="equal">
      <formula>"Adequate"</formula>
    </cfRule>
    <cfRule type="cellIs" dxfId="61" priority="16" operator="equal">
      <formula>"Financially adequate"</formula>
    </cfRule>
    <cfRule type="cellIs" dxfId="62" priority="17" operator="equal">
      <formula>"Caution"</formula>
    </cfRule>
    <cfRule type="cellIs" dxfId="62" priority="18" operator="equal">
      <formula>"Adequate with caution"</formula>
    </cfRule>
    <cfRule type="cellIs" dxfId="63" priority="19" operator="equal">
      <formula>"High-risk"</formula>
    </cfRule>
    <cfRule type="cellIs" dxfId="63" priority="20" operator="equal">
      <formula>"Financially stretched"</formula>
    </cfRule>
    <cfRule type="cellIs" dxfId="64" priority="21" operator="equal">
      <formula>"Not entered"</formula>
    </cfRule>
    <cfRule type="cellIs" dxfId="64" priority="22" operator="equal">
      <formula>"Not applicable"</formula>
    </cfRule>
    <cfRule type="cellIs" dxfId="64" priority="23" operator="equal">
      <formula>"Insufficient data"</formula>
    </cfRule>
  </conditionalFormatting>
  <conditionalFormatting sqref="M6:M35">
    <cfRule type="cellIs" dxfId="60" priority="24" operator="equal">
      <formula>"Strong"</formula>
    </cfRule>
    <cfRule type="cellIs" dxfId="60" priority="25" operator="equal">
      <formula>"Financially strong"</formula>
    </cfRule>
    <cfRule type="cellIs" dxfId="61" priority="26" operator="equal">
      <formula>"Adequate"</formula>
    </cfRule>
    <cfRule type="cellIs" dxfId="61" priority="27" operator="equal">
      <formula>"Financially adequate"</formula>
    </cfRule>
    <cfRule type="cellIs" dxfId="62" priority="28" operator="equal">
      <formula>"Caution"</formula>
    </cfRule>
    <cfRule type="cellIs" dxfId="62" priority="29" operator="equal">
      <formula>"Adequate with caution"</formula>
    </cfRule>
    <cfRule type="cellIs" dxfId="63" priority="30" operator="equal">
      <formula>"High-risk"</formula>
    </cfRule>
    <cfRule type="cellIs" dxfId="63" priority="31" operator="equal">
      <formula>"Financially stretched"</formula>
    </cfRule>
    <cfRule type="cellIs" dxfId="64" priority="32" operator="equal">
      <formula>"Not entered"</formula>
    </cfRule>
    <cfRule type="cellIs" dxfId="64" priority="33" operator="equal">
      <formula>"Not applicable"</formula>
    </cfRule>
    <cfRule type="cellIs" dxfId="64" priority="34" operator="equal">
      <formula>"Insufficient data"</formula>
    </cfRule>
  </conditionalFormatting>
  <conditionalFormatting sqref="O6:O35">
    <cfRule type="cellIs" dxfId="60" priority="35" operator="equal">
      <formula>"Strong"</formula>
    </cfRule>
    <cfRule type="cellIs" dxfId="60" priority="36" operator="equal">
      <formula>"Financially strong"</formula>
    </cfRule>
    <cfRule type="cellIs" dxfId="61" priority="37" operator="equal">
      <formula>"Adequate"</formula>
    </cfRule>
    <cfRule type="cellIs" dxfId="61" priority="38" operator="equal">
      <formula>"Financially adequate"</formula>
    </cfRule>
    <cfRule type="cellIs" dxfId="62" priority="39" operator="equal">
      <formula>"Caution"</formula>
    </cfRule>
    <cfRule type="cellIs" dxfId="62" priority="40" operator="equal">
      <formula>"Adequate with caution"</formula>
    </cfRule>
    <cfRule type="cellIs" dxfId="63" priority="41" operator="equal">
      <formula>"High-risk"</formula>
    </cfRule>
    <cfRule type="cellIs" dxfId="63" priority="42" operator="equal">
      <formula>"Financially stretched"</formula>
    </cfRule>
    <cfRule type="cellIs" dxfId="64" priority="43" operator="equal">
      <formula>"Not entered"</formula>
    </cfRule>
    <cfRule type="cellIs" dxfId="64" priority="44" operator="equal">
      <formula>"Not applicable"</formula>
    </cfRule>
    <cfRule type="cellIs" dxfId="64" priority="45" operator="equal">
      <formula>"Insufficient data"</formula>
    </cfRule>
  </conditionalFormatting>
  <conditionalFormatting sqref="Q6:Q35">
    <cfRule type="cellIs" dxfId="60" priority="46" operator="equal">
      <formula>"Strong"</formula>
    </cfRule>
    <cfRule type="cellIs" dxfId="60" priority="47" operator="equal">
      <formula>"Financially strong"</formula>
    </cfRule>
    <cfRule type="cellIs" dxfId="61" priority="48" operator="equal">
      <formula>"Adequate"</formula>
    </cfRule>
    <cfRule type="cellIs" dxfId="61" priority="49" operator="equal">
      <formula>"Financially adequate"</formula>
    </cfRule>
    <cfRule type="cellIs" dxfId="62" priority="50" operator="equal">
      <formula>"Caution"</formula>
    </cfRule>
    <cfRule type="cellIs" dxfId="62" priority="51" operator="equal">
      <formula>"Adequate with caution"</formula>
    </cfRule>
    <cfRule type="cellIs" dxfId="63" priority="52" operator="equal">
      <formula>"High-risk"</formula>
    </cfRule>
    <cfRule type="cellIs" dxfId="63" priority="53" operator="equal">
      <formula>"Financially stretched"</formula>
    </cfRule>
    <cfRule type="cellIs" dxfId="64" priority="54" operator="equal">
      <formula>"Not entered"</formula>
    </cfRule>
    <cfRule type="cellIs" dxfId="64" priority="55" operator="equal">
      <formula>"Not applicable"</formula>
    </cfRule>
    <cfRule type="cellIs" dxfId="64" priority="56" operator="equal">
      <formula>"Insufficient data"</formula>
    </cfRule>
  </conditionalFormatting>
  <conditionalFormatting sqref="S6:S35">
    <cfRule type="cellIs" dxfId="60" priority="57" operator="equal">
      <formula>"Strong"</formula>
    </cfRule>
    <cfRule type="cellIs" dxfId="60" priority="58" operator="equal">
      <formula>"Financially strong"</formula>
    </cfRule>
    <cfRule type="cellIs" dxfId="61" priority="59" operator="equal">
      <formula>"Adequate"</formula>
    </cfRule>
    <cfRule type="cellIs" dxfId="61" priority="60" operator="equal">
      <formula>"Financially adequate"</formula>
    </cfRule>
    <cfRule type="cellIs" dxfId="62" priority="61" operator="equal">
      <formula>"Caution"</formula>
    </cfRule>
    <cfRule type="cellIs" dxfId="62" priority="62" operator="equal">
      <formula>"Adequate with caution"</formula>
    </cfRule>
    <cfRule type="cellIs" dxfId="63" priority="63" operator="equal">
      <formula>"High-risk"</formula>
    </cfRule>
    <cfRule type="cellIs" dxfId="63" priority="64" operator="equal">
      <formula>"Financially stretched"</formula>
    </cfRule>
    <cfRule type="cellIs" dxfId="64" priority="65" operator="equal">
      <formula>"Not entered"</formula>
    </cfRule>
    <cfRule type="cellIs" dxfId="64" priority="66" operator="equal">
      <formula>"Not applicable"</formula>
    </cfRule>
    <cfRule type="cellIs" dxfId="64" priority="67" operator="equal">
      <formula>"Insufficient data"</formula>
    </cfRule>
  </conditionalFormatting>
  <conditionalFormatting sqref="U6:U35">
    <cfRule type="cellIs" dxfId="60" priority="68" operator="equal">
      <formula>"Strong"</formula>
    </cfRule>
    <cfRule type="cellIs" dxfId="60" priority="69" operator="equal">
      <formula>"Financially strong"</formula>
    </cfRule>
    <cfRule type="cellIs" dxfId="61" priority="70" operator="equal">
      <formula>"Adequate"</formula>
    </cfRule>
    <cfRule type="cellIs" dxfId="61" priority="71" operator="equal">
      <formula>"Financially adequate"</formula>
    </cfRule>
    <cfRule type="cellIs" dxfId="62" priority="72" operator="equal">
      <formula>"Caution"</formula>
    </cfRule>
    <cfRule type="cellIs" dxfId="62" priority="73" operator="equal">
      <formula>"Adequate with caution"</formula>
    </cfRule>
    <cfRule type="cellIs" dxfId="63" priority="74" operator="equal">
      <formula>"High-risk"</formula>
    </cfRule>
    <cfRule type="cellIs" dxfId="63" priority="75" operator="equal">
      <formula>"Financially stretched"</formula>
    </cfRule>
    <cfRule type="cellIs" dxfId="64" priority="76" operator="equal">
      <formula>"Not entered"</formula>
    </cfRule>
    <cfRule type="cellIs" dxfId="64" priority="77" operator="equal">
      <formula>"Not applicable"</formula>
    </cfRule>
    <cfRule type="cellIs" dxfId="64" priority="78" operator="equal">
      <formula>"Insufficient data"</formula>
    </cfRule>
  </conditionalFormatting>
  <conditionalFormatting sqref="W6:W35">
    <cfRule type="cellIs" dxfId="60" priority="79" operator="equal">
      <formula>"Strong"</formula>
    </cfRule>
    <cfRule type="cellIs" dxfId="60" priority="80" operator="equal">
      <formula>"Financially strong"</formula>
    </cfRule>
    <cfRule type="cellIs" dxfId="61" priority="81" operator="equal">
      <formula>"Adequate"</formula>
    </cfRule>
    <cfRule type="cellIs" dxfId="61" priority="82" operator="equal">
      <formula>"Financially adequate"</formula>
    </cfRule>
    <cfRule type="cellIs" dxfId="62" priority="83" operator="equal">
      <formula>"Caution"</formula>
    </cfRule>
    <cfRule type="cellIs" dxfId="62" priority="84" operator="equal">
      <formula>"Adequate with caution"</formula>
    </cfRule>
    <cfRule type="cellIs" dxfId="63" priority="85" operator="equal">
      <formula>"High-risk"</formula>
    </cfRule>
    <cfRule type="cellIs" dxfId="63" priority="86" operator="equal">
      <formula>"Financially stretched"</formula>
    </cfRule>
    <cfRule type="cellIs" dxfId="64" priority="87" operator="equal">
      <formula>"Not entered"</formula>
    </cfRule>
    <cfRule type="cellIs" dxfId="64" priority="88" operator="equal">
      <formula>"Not applicable"</formula>
    </cfRule>
    <cfRule type="cellIs" dxfId="64" priority="89" operator="equal">
      <formula>"Insufficient data"</formula>
    </cfRule>
  </conditionalFormatting>
  <conditionalFormatting sqref="Z6:Z35">
    <cfRule type="cellIs" dxfId="60" priority="90" operator="equal">
      <formula>"Strong"</formula>
    </cfRule>
    <cfRule type="cellIs" dxfId="60" priority="91" operator="equal">
      <formula>"Financially strong"</formula>
    </cfRule>
    <cfRule type="cellIs" dxfId="61" priority="92" operator="equal">
      <formula>"Adequate"</formula>
    </cfRule>
    <cfRule type="cellIs" dxfId="61" priority="93" operator="equal">
      <formula>"Financially adequate"</formula>
    </cfRule>
    <cfRule type="cellIs" dxfId="62" priority="94" operator="equal">
      <formula>"Caution"</formula>
    </cfRule>
    <cfRule type="cellIs" dxfId="62" priority="95" operator="equal">
      <formula>"Adequate with caution"</formula>
    </cfRule>
    <cfRule type="cellIs" dxfId="63" priority="96" operator="equal">
      <formula>"High-risk"</formula>
    </cfRule>
    <cfRule type="cellIs" dxfId="63" priority="97" operator="equal">
      <formula>"Financially stretched"</formula>
    </cfRule>
    <cfRule type="cellIs" dxfId="64" priority="98" operator="equal">
      <formula>"Not entered"</formula>
    </cfRule>
    <cfRule type="cellIs" dxfId="64" priority="99" operator="equal">
      <formula>"Not applicable"</formula>
    </cfRule>
    <cfRule type="cellIs" dxfId="64" priority="100" operator="equal">
      <formula>"Insufficient data"</formula>
    </cfRule>
  </conditionalFormatting>
  <conditionalFormatting sqref="AB6:AB35">
    <cfRule type="cellIs" dxfId="60" priority="101" operator="equal">
      <formula>"Strong"</formula>
    </cfRule>
    <cfRule type="cellIs" dxfId="60" priority="102" operator="equal">
      <formula>"Financially strong"</formula>
    </cfRule>
    <cfRule type="cellIs" dxfId="61" priority="103" operator="equal">
      <formula>"Adequate"</formula>
    </cfRule>
    <cfRule type="cellIs" dxfId="61" priority="104" operator="equal">
      <formula>"Financially adequate"</formula>
    </cfRule>
    <cfRule type="cellIs" dxfId="62" priority="105" operator="equal">
      <formula>"Caution"</formula>
    </cfRule>
    <cfRule type="cellIs" dxfId="62" priority="106" operator="equal">
      <formula>"Adequate with caution"</formula>
    </cfRule>
    <cfRule type="cellIs" dxfId="63" priority="107" operator="equal">
      <formula>"High-risk"</formula>
    </cfRule>
    <cfRule type="cellIs" dxfId="63" priority="108" operator="equal">
      <formula>"Financially stretched"</formula>
    </cfRule>
    <cfRule type="cellIs" dxfId="64" priority="109" operator="equal">
      <formula>"Not entered"</formula>
    </cfRule>
    <cfRule type="cellIs" dxfId="64" priority="110" operator="equal">
      <formula>"Not applicable"</formula>
    </cfRule>
    <cfRule type="cellIs" dxfId="64" priority="111" operator="equal">
      <formula>"Insufficient data"</formula>
    </cfRule>
  </conditionalFormatting>
  <conditionalFormatting sqref="AD6:AD35">
    <cfRule type="cellIs" dxfId="60" priority="112" operator="equal">
      <formula>"Strong"</formula>
    </cfRule>
    <cfRule type="cellIs" dxfId="60" priority="113" operator="equal">
      <formula>"Financially strong"</formula>
    </cfRule>
    <cfRule type="cellIs" dxfId="61" priority="114" operator="equal">
      <formula>"Adequate"</formula>
    </cfRule>
    <cfRule type="cellIs" dxfId="61" priority="115" operator="equal">
      <formula>"Financially adequate"</formula>
    </cfRule>
    <cfRule type="cellIs" dxfId="62" priority="116" operator="equal">
      <formula>"Caution"</formula>
    </cfRule>
    <cfRule type="cellIs" dxfId="62" priority="117" operator="equal">
      <formula>"Adequate with caution"</formula>
    </cfRule>
    <cfRule type="cellIs" dxfId="63" priority="118" operator="equal">
      <formula>"High-risk"</formula>
    </cfRule>
    <cfRule type="cellIs" dxfId="63" priority="119" operator="equal">
      <formula>"Financially stretched"</formula>
    </cfRule>
    <cfRule type="cellIs" dxfId="64" priority="120" operator="equal">
      <formula>"Not entered"</formula>
    </cfRule>
    <cfRule type="cellIs" dxfId="64" priority="121" operator="equal">
      <formula>"Not applicable"</formula>
    </cfRule>
    <cfRule type="cellIs" dxfId="64" priority="122" operator="equal">
      <formula>"Insufficient data"</formula>
    </cfRule>
  </conditionalFormatting>
  <conditionalFormatting sqref="AF6:AF35">
    <cfRule type="cellIs" dxfId="60" priority="123" operator="equal">
      <formula>"Strong"</formula>
    </cfRule>
    <cfRule type="cellIs" dxfId="60" priority="124" operator="equal">
      <formula>"Financially strong"</formula>
    </cfRule>
    <cfRule type="cellIs" dxfId="61" priority="125" operator="equal">
      <formula>"Adequate"</formula>
    </cfRule>
    <cfRule type="cellIs" dxfId="61" priority="126" operator="equal">
      <formula>"Financially adequate"</formula>
    </cfRule>
    <cfRule type="cellIs" dxfId="62" priority="127" operator="equal">
      <formula>"Caution"</formula>
    </cfRule>
    <cfRule type="cellIs" dxfId="62" priority="128" operator="equal">
      <formula>"Adequate with caution"</formula>
    </cfRule>
    <cfRule type="cellIs" dxfId="63" priority="129" operator="equal">
      <formula>"High-risk"</formula>
    </cfRule>
    <cfRule type="cellIs" dxfId="63" priority="130" operator="equal">
      <formula>"Financially stretched"</formula>
    </cfRule>
    <cfRule type="cellIs" dxfId="64" priority="131" operator="equal">
      <formula>"Not entered"</formula>
    </cfRule>
    <cfRule type="cellIs" dxfId="64" priority="132" operator="equal">
      <formula>"Not applicable"</formula>
    </cfRule>
    <cfRule type="cellIs" dxfId="64" priority="133" operator="equal">
      <formula>"Insufficient data"</formula>
    </cfRule>
  </conditionalFormatting>
  <conditionalFormatting sqref="AH6:AH35">
    <cfRule type="cellIs" dxfId="60" priority="134" operator="equal">
      <formula>"Strong"</formula>
    </cfRule>
    <cfRule type="cellIs" dxfId="60" priority="135" operator="equal">
      <formula>"Financially strong"</formula>
    </cfRule>
    <cfRule type="cellIs" dxfId="61" priority="136" operator="equal">
      <formula>"Adequate"</formula>
    </cfRule>
    <cfRule type="cellIs" dxfId="61" priority="137" operator="equal">
      <formula>"Financially adequate"</formula>
    </cfRule>
    <cfRule type="cellIs" dxfId="62" priority="138" operator="equal">
      <formula>"Caution"</formula>
    </cfRule>
    <cfRule type="cellIs" dxfId="62" priority="139" operator="equal">
      <formula>"Adequate with caution"</formula>
    </cfRule>
    <cfRule type="cellIs" dxfId="63" priority="140" operator="equal">
      <formula>"High-risk"</formula>
    </cfRule>
    <cfRule type="cellIs" dxfId="63" priority="141" operator="equal">
      <formula>"Financially stretched"</formula>
    </cfRule>
    <cfRule type="cellIs" dxfId="64" priority="142" operator="equal">
      <formula>"Not entered"</formula>
    </cfRule>
    <cfRule type="cellIs" dxfId="64" priority="143" operator="equal">
      <formula>"Not applicable"</formula>
    </cfRule>
    <cfRule type="cellIs" dxfId="64" priority="144" operator="equal">
      <formula>"Insufficient data"</formula>
    </cfRule>
  </conditionalFormatting>
  <conditionalFormatting sqref="AI6:AI35">
    <cfRule type="expression" dxfId="65" priority="145">
      <formula>$AI6="Negative equity — possible insolvency"</formula>
    </cfRule>
    <cfRule type="expression" dxfId="66" priority="146">
      <formula>$AI6="No major red flag from entered ratios"</formula>
    </cfRule>
    <cfRule type="expression" dxfId="67" priority="147">
      <formula>LEN($AI6)&gt;0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pane ySplit="5" topLeftCell="A6" activePane="bottomLeft" state="frozen"/>
      <selection/>
      <selection pane="bottomLeft" activeCell="A1" sqref="A1:L1"/>
    </sheetView>
  </sheetViews>
  <sheetFormatPr defaultColWidth="8.68181818181818" defaultRowHeight="14.5"/>
  <cols>
    <col min="1" max="1" width="8" style="1" customWidth="1"/>
    <col min="2" max="2" width="26" style="1" customWidth="1"/>
    <col min="3" max="3" width="30" style="1" customWidth="1"/>
    <col min="4" max="4" width="10" style="1" customWidth="1"/>
    <col min="5" max="7" width="12" style="1" customWidth="1"/>
    <col min="8" max="8" width="15" style="1" customWidth="1"/>
    <col min="9" max="9" width="22" style="1" customWidth="1"/>
    <col min="10" max="10" width="28" style="1" customWidth="1"/>
    <col min="11" max="11" width="14" style="1" customWidth="1"/>
    <col min="12" max="12" width="30" style="1" customWidth="1"/>
  </cols>
  <sheetData>
    <row r="1" ht="27.75" customHeight="1" spans="1:1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4" t="s">
        <v>90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5" customHeight="1" spans="1:12">
      <c r="A4" s="15" t="s">
        <v>91</v>
      </c>
      <c r="B4" s="15"/>
      <c r="C4" s="15" t="s">
        <v>92</v>
      </c>
      <c r="D4" s="15"/>
      <c r="E4" s="15" t="s">
        <v>93</v>
      </c>
      <c r="F4" s="15"/>
      <c r="G4" s="15" t="s">
        <v>94</v>
      </c>
      <c r="H4" s="15"/>
      <c r="I4" s="15" t="s">
        <v>95</v>
      </c>
      <c r="J4" s="15"/>
      <c r="K4" s="15" t="s">
        <v>96</v>
      </c>
      <c r="L4" s="15"/>
    </row>
    <row r="5" ht="12.5" spans="1:12">
      <c r="A5" s="16">
        <f>COUNTIF('DATA ENTRY'!B6:B35,"?*")</f>
        <v>0</v>
      </c>
      <c r="B5" s="16"/>
      <c r="C5" s="16">
        <f>COUNTIF('RATIO RESULTS'!AH6:AH35,"Financially strong")</f>
        <v>0</v>
      </c>
      <c r="D5" s="16"/>
      <c r="E5" s="16">
        <f>COUNTIF('RATIO RESULTS'!AH6:AH35,"Financially adequate")</f>
        <v>0</v>
      </c>
      <c r="F5" s="16"/>
      <c r="G5" s="16">
        <f>COUNTIF('RATIO RESULTS'!AH6:AH35,"Adequate with caution")</f>
        <v>0</v>
      </c>
      <c r="H5" s="16"/>
      <c r="I5" s="16">
        <f>COUNTIF('RATIO RESULTS'!AH6:AH35,"Financially stretched")</f>
        <v>0</v>
      </c>
      <c r="J5" s="16"/>
      <c r="K5" s="16">
        <f>COUNTIF('RATIO RESULTS'!F6:F35,"Needs check")+COUNTIF('RATIO RESULTS'!F6:F35,"Not marked")</f>
        <v>0</v>
      </c>
      <c r="L5" s="16"/>
    </row>
    <row r="6" ht="12.5" spans="1:1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13" spans="1:12">
      <c r="A8" s="12" t="s">
        <v>97</v>
      </c>
      <c r="B8" s="12" t="s">
        <v>98</v>
      </c>
      <c r="C8" s="12" t="s">
        <v>33</v>
      </c>
      <c r="D8" s="12" t="s">
        <v>58</v>
      </c>
      <c r="E8" s="12" t="s">
        <v>69</v>
      </c>
      <c r="F8" s="12" t="s">
        <v>99</v>
      </c>
      <c r="G8" s="12" t="s">
        <v>100</v>
      </c>
      <c r="H8" s="12" t="s">
        <v>82</v>
      </c>
      <c r="I8" s="12" t="s">
        <v>101</v>
      </c>
      <c r="J8" s="12" t="s">
        <v>88</v>
      </c>
      <c r="K8" s="12" t="s">
        <v>102</v>
      </c>
      <c r="L8" s="12" t="s">
        <v>103</v>
      </c>
    </row>
    <row r="9" spans="1:12">
      <c r="A9" s="11" t="str">
        <f>IF('RATIO RESULTS'!$B6&lt;&gt;"",'RATIO RESULTS'!$A6,"")</f>
        <v/>
      </c>
      <c r="B9" s="11" t="str">
        <f>IF('RATIO RESULTS'!$B6&lt;&gt;"",'RATIO RESULTS'!$B6,"")</f>
        <v/>
      </c>
      <c r="C9" s="11" t="str">
        <f>IF('RATIO RESULTS'!$B6&lt;&gt;"",'RATIO RESULTS'!$C6,"")</f>
        <v/>
      </c>
      <c r="D9" s="11" t="str">
        <f>IF('RATIO RESULTS'!$B6&lt;&gt;"",'RATIO RESULTS'!$D6,"")</f>
        <v/>
      </c>
      <c r="E9" s="17" t="str">
        <f>IF('RATIO RESULTS'!$B6&lt;&gt;"",'RATIO RESULTS'!$P6,"")</f>
        <v/>
      </c>
      <c r="F9" s="17" t="str">
        <f>IF('RATIO RESULTS'!$B6&lt;&gt;"",'RATIO RESULTS'!$T6,"")</f>
        <v/>
      </c>
      <c r="G9" s="18" t="str">
        <f>IF('RATIO RESULTS'!$B6&lt;&gt;"",'RATIO RESULTS'!$J6,"")</f>
        <v/>
      </c>
      <c r="H9" s="19" t="str">
        <f>IF('RATIO RESULTS'!$B6&lt;&gt;"",'RATIO RESULTS'!$AC6,"")</f>
        <v/>
      </c>
      <c r="I9" s="11" t="str">
        <f>IF('RATIO RESULTS'!$B6&lt;&gt;"",'RATIO RESULTS'!$AH6,"")</f>
        <v/>
      </c>
      <c r="J9" s="11" t="str">
        <f>IF('RATIO RESULTS'!$B6&lt;&gt;"",'RATIO RESULTS'!$AI6,"")</f>
        <v/>
      </c>
      <c r="K9" s="11" t="str">
        <f>IF('RATIO RESULTS'!$B6&lt;&gt;"",'RATIO RESULTS'!$F6,"")</f>
        <v/>
      </c>
      <c r="L9" s="11" t="str">
        <f>IF('RATIO RESULTS'!$B6&lt;&gt;"","Verify source figures before recording finding.","")</f>
        <v/>
      </c>
    </row>
    <row r="10" spans="1:12">
      <c r="A10" s="11" t="str">
        <f>IF('RATIO RESULTS'!$B7&lt;&gt;"",'RATIO RESULTS'!$A7,"")</f>
        <v/>
      </c>
      <c r="B10" s="11" t="str">
        <f>IF('RATIO RESULTS'!$B7&lt;&gt;"",'RATIO RESULTS'!$B7,"")</f>
        <v/>
      </c>
      <c r="C10" s="11" t="str">
        <f>IF('RATIO RESULTS'!$B7&lt;&gt;"",'RATIO RESULTS'!$C7,"")</f>
        <v/>
      </c>
      <c r="D10" s="11" t="str">
        <f>IF('RATIO RESULTS'!$B7&lt;&gt;"",'RATIO RESULTS'!$D7,"")</f>
        <v/>
      </c>
      <c r="E10" s="17" t="str">
        <f>IF('RATIO RESULTS'!$B7&lt;&gt;"",'RATIO RESULTS'!$P7,"")</f>
        <v/>
      </c>
      <c r="F10" s="17" t="str">
        <f>IF('RATIO RESULTS'!$B7&lt;&gt;"",'RATIO RESULTS'!$T7,"")</f>
        <v/>
      </c>
      <c r="G10" s="18" t="str">
        <f>IF('RATIO RESULTS'!$B7&lt;&gt;"",'RATIO RESULTS'!$J7,"")</f>
        <v/>
      </c>
      <c r="H10" s="19" t="str">
        <f>IF('RATIO RESULTS'!$B7&lt;&gt;"",'RATIO RESULTS'!$AC7,"")</f>
        <v/>
      </c>
      <c r="I10" s="11" t="str">
        <f>IF('RATIO RESULTS'!$B7&lt;&gt;"",'RATIO RESULTS'!$AH7,"")</f>
        <v/>
      </c>
      <c r="J10" s="11" t="str">
        <f>IF('RATIO RESULTS'!$B7&lt;&gt;"",'RATIO RESULTS'!$AI7,"")</f>
        <v/>
      </c>
      <c r="K10" s="11" t="str">
        <f>IF('RATIO RESULTS'!$B7&lt;&gt;"",'RATIO RESULTS'!$F7,"")</f>
        <v/>
      </c>
      <c r="L10" s="11" t="str">
        <f>IF('RATIO RESULTS'!$B7&lt;&gt;"","Verify source figures before recording finding.","")</f>
        <v/>
      </c>
    </row>
    <row r="11" spans="1:12">
      <c r="A11" s="11" t="str">
        <f>IF('RATIO RESULTS'!$B8&lt;&gt;"",'RATIO RESULTS'!$A8,"")</f>
        <v/>
      </c>
      <c r="B11" s="11" t="str">
        <f>IF('RATIO RESULTS'!$B8&lt;&gt;"",'RATIO RESULTS'!$B8,"")</f>
        <v/>
      </c>
      <c r="C11" s="11" t="str">
        <f>IF('RATIO RESULTS'!$B8&lt;&gt;"",'RATIO RESULTS'!$C8,"")</f>
        <v/>
      </c>
      <c r="D11" s="11" t="str">
        <f>IF('RATIO RESULTS'!$B8&lt;&gt;"",'RATIO RESULTS'!$D8,"")</f>
        <v/>
      </c>
      <c r="E11" s="17" t="str">
        <f>IF('RATIO RESULTS'!$B8&lt;&gt;"",'RATIO RESULTS'!$P8,"")</f>
        <v/>
      </c>
      <c r="F11" s="17" t="str">
        <f>IF('RATIO RESULTS'!$B8&lt;&gt;"",'RATIO RESULTS'!$T8,"")</f>
        <v/>
      </c>
      <c r="G11" s="18" t="str">
        <f>IF('RATIO RESULTS'!$B8&lt;&gt;"",'RATIO RESULTS'!$J8,"")</f>
        <v/>
      </c>
      <c r="H11" s="19" t="str">
        <f>IF('RATIO RESULTS'!$B8&lt;&gt;"",'RATIO RESULTS'!$AC8,"")</f>
        <v/>
      </c>
      <c r="I11" s="11" t="str">
        <f>IF('RATIO RESULTS'!$B8&lt;&gt;"",'RATIO RESULTS'!$AH8,"")</f>
        <v/>
      </c>
      <c r="J11" s="11" t="str">
        <f>IF('RATIO RESULTS'!$B8&lt;&gt;"",'RATIO RESULTS'!$AI8,"")</f>
        <v/>
      </c>
      <c r="K11" s="11" t="str">
        <f>IF('RATIO RESULTS'!$B8&lt;&gt;"",'RATIO RESULTS'!$F8,"")</f>
        <v/>
      </c>
      <c r="L11" s="11" t="str">
        <f>IF('RATIO RESULTS'!$B8&lt;&gt;"","Verify source figures before recording finding.","")</f>
        <v/>
      </c>
    </row>
    <row r="12" spans="1:12">
      <c r="A12" s="11" t="str">
        <f>IF('RATIO RESULTS'!$B9&lt;&gt;"",'RATIO RESULTS'!$A9,"")</f>
        <v/>
      </c>
      <c r="B12" s="11" t="str">
        <f>IF('RATIO RESULTS'!$B9&lt;&gt;"",'RATIO RESULTS'!$B9,"")</f>
        <v/>
      </c>
      <c r="C12" s="11" t="str">
        <f>IF('RATIO RESULTS'!$B9&lt;&gt;"",'RATIO RESULTS'!$C9,"")</f>
        <v/>
      </c>
      <c r="D12" s="11" t="str">
        <f>IF('RATIO RESULTS'!$B9&lt;&gt;"",'RATIO RESULTS'!$D9,"")</f>
        <v/>
      </c>
      <c r="E12" s="17" t="str">
        <f>IF('RATIO RESULTS'!$B9&lt;&gt;"",'RATIO RESULTS'!$P9,"")</f>
        <v/>
      </c>
      <c r="F12" s="17" t="str">
        <f>IF('RATIO RESULTS'!$B9&lt;&gt;"",'RATIO RESULTS'!$T9,"")</f>
        <v/>
      </c>
      <c r="G12" s="18" t="str">
        <f>IF('RATIO RESULTS'!$B9&lt;&gt;"",'RATIO RESULTS'!$J9,"")</f>
        <v/>
      </c>
      <c r="H12" s="19" t="str">
        <f>IF('RATIO RESULTS'!$B9&lt;&gt;"",'RATIO RESULTS'!$AC9,"")</f>
        <v/>
      </c>
      <c r="I12" s="11" t="str">
        <f>IF('RATIO RESULTS'!$B9&lt;&gt;"",'RATIO RESULTS'!$AH9,"")</f>
        <v/>
      </c>
      <c r="J12" s="11" t="str">
        <f>IF('RATIO RESULTS'!$B9&lt;&gt;"",'RATIO RESULTS'!$AI9,"")</f>
        <v/>
      </c>
      <c r="K12" s="11" t="str">
        <f>IF('RATIO RESULTS'!$B9&lt;&gt;"",'RATIO RESULTS'!$F9,"")</f>
        <v/>
      </c>
      <c r="L12" s="11" t="str">
        <f>IF('RATIO RESULTS'!$B9&lt;&gt;"","Verify source figures before recording finding.","")</f>
        <v/>
      </c>
    </row>
    <row r="13" spans="1:12">
      <c r="A13" s="11" t="str">
        <f>IF('RATIO RESULTS'!$B10&lt;&gt;"",'RATIO RESULTS'!$A10,"")</f>
        <v/>
      </c>
      <c r="B13" s="11" t="str">
        <f>IF('RATIO RESULTS'!$B10&lt;&gt;"",'RATIO RESULTS'!$B10,"")</f>
        <v/>
      </c>
      <c r="C13" s="11" t="str">
        <f>IF('RATIO RESULTS'!$B10&lt;&gt;"",'RATIO RESULTS'!$C10,"")</f>
        <v/>
      </c>
      <c r="D13" s="11" t="str">
        <f>IF('RATIO RESULTS'!$B10&lt;&gt;"",'RATIO RESULTS'!$D10,"")</f>
        <v/>
      </c>
      <c r="E13" s="17" t="str">
        <f>IF('RATIO RESULTS'!$B10&lt;&gt;"",'RATIO RESULTS'!$P10,"")</f>
        <v/>
      </c>
      <c r="F13" s="17" t="str">
        <f>IF('RATIO RESULTS'!$B10&lt;&gt;"",'RATIO RESULTS'!$T10,"")</f>
        <v/>
      </c>
      <c r="G13" s="18" t="str">
        <f>IF('RATIO RESULTS'!$B10&lt;&gt;"",'RATIO RESULTS'!$J10,"")</f>
        <v/>
      </c>
      <c r="H13" s="19" t="str">
        <f>IF('RATIO RESULTS'!$B10&lt;&gt;"",'RATIO RESULTS'!$AC10,"")</f>
        <v/>
      </c>
      <c r="I13" s="11" t="str">
        <f>IF('RATIO RESULTS'!$B10&lt;&gt;"",'RATIO RESULTS'!$AH10,"")</f>
        <v/>
      </c>
      <c r="J13" s="11" t="str">
        <f>IF('RATIO RESULTS'!$B10&lt;&gt;"",'RATIO RESULTS'!$AI10,"")</f>
        <v/>
      </c>
      <c r="K13" s="11" t="str">
        <f>IF('RATIO RESULTS'!$B10&lt;&gt;"",'RATIO RESULTS'!$F10,"")</f>
        <v/>
      </c>
      <c r="L13" s="11" t="str">
        <f>IF('RATIO RESULTS'!$B10&lt;&gt;"","Verify source figures before recording finding.","")</f>
        <v/>
      </c>
    </row>
    <row r="14" spans="1:12">
      <c r="A14" s="11" t="str">
        <f>IF('RATIO RESULTS'!$B11&lt;&gt;"",'RATIO RESULTS'!$A11,"")</f>
        <v/>
      </c>
      <c r="B14" s="11" t="str">
        <f>IF('RATIO RESULTS'!$B11&lt;&gt;"",'RATIO RESULTS'!$B11,"")</f>
        <v/>
      </c>
      <c r="C14" s="11" t="str">
        <f>IF('RATIO RESULTS'!$B11&lt;&gt;"",'RATIO RESULTS'!$C11,"")</f>
        <v/>
      </c>
      <c r="D14" s="11" t="str">
        <f>IF('RATIO RESULTS'!$B11&lt;&gt;"",'RATIO RESULTS'!$D11,"")</f>
        <v/>
      </c>
      <c r="E14" s="17" t="str">
        <f>IF('RATIO RESULTS'!$B11&lt;&gt;"",'RATIO RESULTS'!$P11,"")</f>
        <v/>
      </c>
      <c r="F14" s="17" t="str">
        <f>IF('RATIO RESULTS'!$B11&lt;&gt;"",'RATIO RESULTS'!$T11,"")</f>
        <v/>
      </c>
      <c r="G14" s="18" t="str">
        <f>IF('RATIO RESULTS'!$B11&lt;&gt;"",'RATIO RESULTS'!$J11,"")</f>
        <v/>
      </c>
      <c r="H14" s="19" t="str">
        <f>IF('RATIO RESULTS'!$B11&lt;&gt;"",'RATIO RESULTS'!$AC11,"")</f>
        <v/>
      </c>
      <c r="I14" s="11" t="str">
        <f>IF('RATIO RESULTS'!$B11&lt;&gt;"",'RATIO RESULTS'!$AH11,"")</f>
        <v/>
      </c>
      <c r="J14" s="11" t="str">
        <f>IF('RATIO RESULTS'!$B11&lt;&gt;"",'RATIO RESULTS'!$AI11,"")</f>
        <v/>
      </c>
      <c r="K14" s="11" t="str">
        <f>IF('RATIO RESULTS'!$B11&lt;&gt;"",'RATIO RESULTS'!$F11,"")</f>
        <v/>
      </c>
      <c r="L14" s="11" t="str">
        <f>IF('RATIO RESULTS'!$B11&lt;&gt;"","Verify source figures before recording finding.","")</f>
        <v/>
      </c>
    </row>
    <row r="15" spans="1:12">
      <c r="A15" s="11" t="str">
        <f>IF('RATIO RESULTS'!$B12&lt;&gt;"",'RATIO RESULTS'!$A12,"")</f>
        <v/>
      </c>
      <c r="B15" s="11" t="str">
        <f>IF('RATIO RESULTS'!$B12&lt;&gt;"",'RATIO RESULTS'!$B12,"")</f>
        <v/>
      </c>
      <c r="C15" s="11" t="str">
        <f>IF('RATIO RESULTS'!$B12&lt;&gt;"",'RATIO RESULTS'!$C12,"")</f>
        <v/>
      </c>
      <c r="D15" s="11" t="str">
        <f>IF('RATIO RESULTS'!$B12&lt;&gt;"",'RATIO RESULTS'!$D12,"")</f>
        <v/>
      </c>
      <c r="E15" s="17" t="str">
        <f>IF('RATIO RESULTS'!$B12&lt;&gt;"",'RATIO RESULTS'!$P12,"")</f>
        <v/>
      </c>
      <c r="F15" s="17" t="str">
        <f>IF('RATIO RESULTS'!$B12&lt;&gt;"",'RATIO RESULTS'!$T12,"")</f>
        <v/>
      </c>
      <c r="G15" s="18" t="str">
        <f>IF('RATIO RESULTS'!$B12&lt;&gt;"",'RATIO RESULTS'!$J12,"")</f>
        <v/>
      </c>
      <c r="H15" s="19" t="str">
        <f>IF('RATIO RESULTS'!$B12&lt;&gt;"",'RATIO RESULTS'!$AC12,"")</f>
        <v/>
      </c>
      <c r="I15" s="11" t="str">
        <f>IF('RATIO RESULTS'!$B12&lt;&gt;"",'RATIO RESULTS'!$AH12,"")</f>
        <v/>
      </c>
      <c r="J15" s="11" t="str">
        <f>IF('RATIO RESULTS'!$B12&lt;&gt;"",'RATIO RESULTS'!$AI12,"")</f>
        <v/>
      </c>
      <c r="K15" s="11" t="str">
        <f>IF('RATIO RESULTS'!$B12&lt;&gt;"",'RATIO RESULTS'!$F12,"")</f>
        <v/>
      </c>
      <c r="L15" s="11" t="str">
        <f>IF('RATIO RESULTS'!$B12&lt;&gt;"","Verify source figures before recording finding.","")</f>
        <v/>
      </c>
    </row>
    <row r="16" spans="1:12">
      <c r="A16" s="11" t="str">
        <f>IF('RATIO RESULTS'!$B13&lt;&gt;"",'RATIO RESULTS'!$A13,"")</f>
        <v/>
      </c>
      <c r="B16" s="11" t="str">
        <f>IF('RATIO RESULTS'!$B13&lt;&gt;"",'RATIO RESULTS'!$B13,"")</f>
        <v/>
      </c>
      <c r="C16" s="11" t="str">
        <f>IF('RATIO RESULTS'!$B13&lt;&gt;"",'RATIO RESULTS'!$C13,"")</f>
        <v/>
      </c>
      <c r="D16" s="11" t="str">
        <f>IF('RATIO RESULTS'!$B13&lt;&gt;"",'RATIO RESULTS'!$D13,"")</f>
        <v/>
      </c>
      <c r="E16" s="17" t="str">
        <f>IF('RATIO RESULTS'!$B13&lt;&gt;"",'RATIO RESULTS'!$P13,"")</f>
        <v/>
      </c>
      <c r="F16" s="17" t="str">
        <f>IF('RATIO RESULTS'!$B13&lt;&gt;"",'RATIO RESULTS'!$T13,"")</f>
        <v/>
      </c>
      <c r="G16" s="18" t="str">
        <f>IF('RATIO RESULTS'!$B13&lt;&gt;"",'RATIO RESULTS'!$J13,"")</f>
        <v/>
      </c>
      <c r="H16" s="19" t="str">
        <f>IF('RATIO RESULTS'!$B13&lt;&gt;"",'RATIO RESULTS'!$AC13,"")</f>
        <v/>
      </c>
      <c r="I16" s="11" t="str">
        <f>IF('RATIO RESULTS'!$B13&lt;&gt;"",'RATIO RESULTS'!$AH13,"")</f>
        <v/>
      </c>
      <c r="J16" s="11" t="str">
        <f>IF('RATIO RESULTS'!$B13&lt;&gt;"",'RATIO RESULTS'!$AI13,"")</f>
        <v/>
      </c>
      <c r="K16" s="11" t="str">
        <f>IF('RATIO RESULTS'!$B13&lt;&gt;"",'RATIO RESULTS'!$F13,"")</f>
        <v/>
      </c>
      <c r="L16" s="11" t="str">
        <f>IF('RATIO RESULTS'!$B13&lt;&gt;"","Verify source figures before recording finding.","")</f>
        <v/>
      </c>
    </row>
    <row r="17" spans="1:12">
      <c r="A17" s="11" t="str">
        <f>IF('RATIO RESULTS'!$B14&lt;&gt;"",'RATIO RESULTS'!$A14,"")</f>
        <v/>
      </c>
      <c r="B17" s="11" t="str">
        <f>IF('RATIO RESULTS'!$B14&lt;&gt;"",'RATIO RESULTS'!$B14,"")</f>
        <v/>
      </c>
      <c r="C17" s="11" t="str">
        <f>IF('RATIO RESULTS'!$B14&lt;&gt;"",'RATIO RESULTS'!$C14,"")</f>
        <v/>
      </c>
      <c r="D17" s="11" t="str">
        <f>IF('RATIO RESULTS'!$B14&lt;&gt;"",'RATIO RESULTS'!$D14,"")</f>
        <v/>
      </c>
      <c r="E17" s="17" t="str">
        <f>IF('RATIO RESULTS'!$B14&lt;&gt;"",'RATIO RESULTS'!$P14,"")</f>
        <v/>
      </c>
      <c r="F17" s="17" t="str">
        <f>IF('RATIO RESULTS'!$B14&lt;&gt;"",'RATIO RESULTS'!$T14,"")</f>
        <v/>
      </c>
      <c r="G17" s="18" t="str">
        <f>IF('RATIO RESULTS'!$B14&lt;&gt;"",'RATIO RESULTS'!$J14,"")</f>
        <v/>
      </c>
      <c r="H17" s="19" t="str">
        <f>IF('RATIO RESULTS'!$B14&lt;&gt;"",'RATIO RESULTS'!$AC14,"")</f>
        <v/>
      </c>
      <c r="I17" s="11" t="str">
        <f>IF('RATIO RESULTS'!$B14&lt;&gt;"",'RATIO RESULTS'!$AH14,"")</f>
        <v/>
      </c>
      <c r="J17" s="11" t="str">
        <f>IF('RATIO RESULTS'!$B14&lt;&gt;"",'RATIO RESULTS'!$AI14,"")</f>
        <v/>
      </c>
      <c r="K17" s="11" t="str">
        <f>IF('RATIO RESULTS'!$B14&lt;&gt;"",'RATIO RESULTS'!$F14,"")</f>
        <v/>
      </c>
      <c r="L17" s="11" t="str">
        <f>IF('RATIO RESULTS'!$B14&lt;&gt;"","Verify source figures before recording finding.","")</f>
        <v/>
      </c>
    </row>
    <row r="18" spans="1:12">
      <c r="A18" s="11" t="str">
        <f>IF('RATIO RESULTS'!$B15&lt;&gt;"",'RATIO RESULTS'!$A15,"")</f>
        <v/>
      </c>
      <c r="B18" s="11" t="str">
        <f>IF('RATIO RESULTS'!$B15&lt;&gt;"",'RATIO RESULTS'!$B15,"")</f>
        <v/>
      </c>
      <c r="C18" s="11" t="str">
        <f>IF('RATIO RESULTS'!$B15&lt;&gt;"",'RATIO RESULTS'!$C15,"")</f>
        <v/>
      </c>
      <c r="D18" s="11" t="str">
        <f>IF('RATIO RESULTS'!$B15&lt;&gt;"",'RATIO RESULTS'!$D15,"")</f>
        <v/>
      </c>
      <c r="E18" s="17" t="str">
        <f>IF('RATIO RESULTS'!$B15&lt;&gt;"",'RATIO RESULTS'!$P15,"")</f>
        <v/>
      </c>
      <c r="F18" s="17" t="str">
        <f>IF('RATIO RESULTS'!$B15&lt;&gt;"",'RATIO RESULTS'!$T15,"")</f>
        <v/>
      </c>
      <c r="G18" s="18" t="str">
        <f>IF('RATIO RESULTS'!$B15&lt;&gt;"",'RATIO RESULTS'!$J15,"")</f>
        <v/>
      </c>
      <c r="H18" s="19" t="str">
        <f>IF('RATIO RESULTS'!$B15&lt;&gt;"",'RATIO RESULTS'!$AC15,"")</f>
        <v/>
      </c>
      <c r="I18" s="11" t="str">
        <f>IF('RATIO RESULTS'!$B15&lt;&gt;"",'RATIO RESULTS'!$AH15,"")</f>
        <v/>
      </c>
      <c r="J18" s="11" t="str">
        <f>IF('RATIO RESULTS'!$B15&lt;&gt;"",'RATIO RESULTS'!$AI15,"")</f>
        <v/>
      </c>
      <c r="K18" s="11" t="str">
        <f>IF('RATIO RESULTS'!$B15&lt;&gt;"",'RATIO RESULTS'!$F15,"")</f>
        <v/>
      </c>
      <c r="L18" s="11" t="str">
        <f>IF('RATIO RESULTS'!$B15&lt;&gt;"","Verify source figures before recording finding.","")</f>
        <v/>
      </c>
    </row>
    <row r="19" spans="1:12">
      <c r="A19" s="11" t="str">
        <f>IF('RATIO RESULTS'!$B16&lt;&gt;"",'RATIO RESULTS'!$A16,"")</f>
        <v/>
      </c>
      <c r="B19" s="11" t="str">
        <f>IF('RATIO RESULTS'!$B16&lt;&gt;"",'RATIO RESULTS'!$B16,"")</f>
        <v/>
      </c>
      <c r="C19" s="11" t="str">
        <f>IF('RATIO RESULTS'!$B16&lt;&gt;"",'RATIO RESULTS'!$C16,"")</f>
        <v/>
      </c>
      <c r="D19" s="11" t="str">
        <f>IF('RATIO RESULTS'!$B16&lt;&gt;"",'RATIO RESULTS'!$D16,"")</f>
        <v/>
      </c>
      <c r="E19" s="17" t="str">
        <f>IF('RATIO RESULTS'!$B16&lt;&gt;"",'RATIO RESULTS'!$P16,"")</f>
        <v/>
      </c>
      <c r="F19" s="17" t="str">
        <f>IF('RATIO RESULTS'!$B16&lt;&gt;"",'RATIO RESULTS'!$T16,"")</f>
        <v/>
      </c>
      <c r="G19" s="18" t="str">
        <f>IF('RATIO RESULTS'!$B16&lt;&gt;"",'RATIO RESULTS'!$J16,"")</f>
        <v/>
      </c>
      <c r="H19" s="19" t="str">
        <f>IF('RATIO RESULTS'!$B16&lt;&gt;"",'RATIO RESULTS'!$AC16,"")</f>
        <v/>
      </c>
      <c r="I19" s="11" t="str">
        <f>IF('RATIO RESULTS'!$B16&lt;&gt;"",'RATIO RESULTS'!$AH16,"")</f>
        <v/>
      </c>
      <c r="J19" s="11" t="str">
        <f>IF('RATIO RESULTS'!$B16&lt;&gt;"",'RATIO RESULTS'!$AI16,"")</f>
        <v/>
      </c>
      <c r="K19" s="11" t="str">
        <f>IF('RATIO RESULTS'!$B16&lt;&gt;"",'RATIO RESULTS'!$F16,"")</f>
        <v/>
      </c>
      <c r="L19" s="11" t="str">
        <f>IF('RATIO RESULTS'!$B16&lt;&gt;"","Verify source figures before recording finding.","")</f>
        <v/>
      </c>
    </row>
    <row r="20" spans="1:12">
      <c r="A20" s="11" t="str">
        <f>IF('RATIO RESULTS'!$B17&lt;&gt;"",'RATIO RESULTS'!$A17,"")</f>
        <v/>
      </c>
      <c r="B20" s="11" t="str">
        <f>IF('RATIO RESULTS'!$B17&lt;&gt;"",'RATIO RESULTS'!$B17,"")</f>
        <v/>
      </c>
      <c r="C20" s="11" t="str">
        <f>IF('RATIO RESULTS'!$B17&lt;&gt;"",'RATIO RESULTS'!$C17,"")</f>
        <v/>
      </c>
      <c r="D20" s="11" t="str">
        <f>IF('RATIO RESULTS'!$B17&lt;&gt;"",'RATIO RESULTS'!$D17,"")</f>
        <v/>
      </c>
      <c r="E20" s="17" t="str">
        <f>IF('RATIO RESULTS'!$B17&lt;&gt;"",'RATIO RESULTS'!$P17,"")</f>
        <v/>
      </c>
      <c r="F20" s="17" t="str">
        <f>IF('RATIO RESULTS'!$B17&lt;&gt;"",'RATIO RESULTS'!$T17,"")</f>
        <v/>
      </c>
      <c r="G20" s="18" t="str">
        <f>IF('RATIO RESULTS'!$B17&lt;&gt;"",'RATIO RESULTS'!$J17,"")</f>
        <v/>
      </c>
      <c r="H20" s="19" t="str">
        <f>IF('RATIO RESULTS'!$B17&lt;&gt;"",'RATIO RESULTS'!$AC17,"")</f>
        <v/>
      </c>
      <c r="I20" s="11" t="str">
        <f>IF('RATIO RESULTS'!$B17&lt;&gt;"",'RATIO RESULTS'!$AH17,"")</f>
        <v/>
      </c>
      <c r="J20" s="11" t="str">
        <f>IF('RATIO RESULTS'!$B17&lt;&gt;"",'RATIO RESULTS'!$AI17,"")</f>
        <v/>
      </c>
      <c r="K20" s="11" t="str">
        <f>IF('RATIO RESULTS'!$B17&lt;&gt;"",'RATIO RESULTS'!$F17,"")</f>
        <v/>
      </c>
      <c r="L20" s="11" t="str">
        <f>IF('RATIO RESULTS'!$B17&lt;&gt;"","Verify source figures before recording finding.","")</f>
        <v/>
      </c>
    </row>
    <row r="21" spans="1:12">
      <c r="A21" s="11" t="str">
        <f>IF('RATIO RESULTS'!$B18&lt;&gt;"",'RATIO RESULTS'!$A18,"")</f>
        <v/>
      </c>
      <c r="B21" s="11" t="str">
        <f>IF('RATIO RESULTS'!$B18&lt;&gt;"",'RATIO RESULTS'!$B18,"")</f>
        <v/>
      </c>
      <c r="C21" s="11" t="str">
        <f>IF('RATIO RESULTS'!$B18&lt;&gt;"",'RATIO RESULTS'!$C18,"")</f>
        <v/>
      </c>
      <c r="D21" s="11" t="str">
        <f>IF('RATIO RESULTS'!$B18&lt;&gt;"",'RATIO RESULTS'!$D18,"")</f>
        <v/>
      </c>
      <c r="E21" s="17" t="str">
        <f>IF('RATIO RESULTS'!$B18&lt;&gt;"",'RATIO RESULTS'!$P18,"")</f>
        <v/>
      </c>
      <c r="F21" s="17" t="str">
        <f>IF('RATIO RESULTS'!$B18&lt;&gt;"",'RATIO RESULTS'!$T18,"")</f>
        <v/>
      </c>
      <c r="G21" s="18" t="str">
        <f>IF('RATIO RESULTS'!$B18&lt;&gt;"",'RATIO RESULTS'!$J18,"")</f>
        <v/>
      </c>
      <c r="H21" s="19" t="str">
        <f>IF('RATIO RESULTS'!$B18&lt;&gt;"",'RATIO RESULTS'!$AC18,"")</f>
        <v/>
      </c>
      <c r="I21" s="11" t="str">
        <f>IF('RATIO RESULTS'!$B18&lt;&gt;"",'RATIO RESULTS'!$AH18,"")</f>
        <v/>
      </c>
      <c r="J21" s="11" t="str">
        <f>IF('RATIO RESULTS'!$B18&lt;&gt;"",'RATIO RESULTS'!$AI18,"")</f>
        <v/>
      </c>
      <c r="K21" s="11" t="str">
        <f>IF('RATIO RESULTS'!$B18&lt;&gt;"",'RATIO RESULTS'!$F18,"")</f>
        <v/>
      </c>
      <c r="L21" s="11" t="str">
        <f>IF('RATIO RESULTS'!$B18&lt;&gt;"","Verify source figures before recording finding.","")</f>
        <v/>
      </c>
    </row>
    <row r="22" spans="1:12">
      <c r="A22" s="11" t="str">
        <f>IF('RATIO RESULTS'!$B19&lt;&gt;"",'RATIO RESULTS'!$A19,"")</f>
        <v/>
      </c>
      <c r="B22" s="11" t="str">
        <f>IF('RATIO RESULTS'!$B19&lt;&gt;"",'RATIO RESULTS'!$B19,"")</f>
        <v/>
      </c>
      <c r="C22" s="11" t="str">
        <f>IF('RATIO RESULTS'!$B19&lt;&gt;"",'RATIO RESULTS'!$C19,"")</f>
        <v/>
      </c>
      <c r="D22" s="11" t="str">
        <f>IF('RATIO RESULTS'!$B19&lt;&gt;"",'RATIO RESULTS'!$D19,"")</f>
        <v/>
      </c>
      <c r="E22" s="17" t="str">
        <f>IF('RATIO RESULTS'!$B19&lt;&gt;"",'RATIO RESULTS'!$P19,"")</f>
        <v/>
      </c>
      <c r="F22" s="17" t="str">
        <f>IF('RATIO RESULTS'!$B19&lt;&gt;"",'RATIO RESULTS'!$T19,"")</f>
        <v/>
      </c>
      <c r="G22" s="18" t="str">
        <f>IF('RATIO RESULTS'!$B19&lt;&gt;"",'RATIO RESULTS'!$J19,"")</f>
        <v/>
      </c>
      <c r="H22" s="19" t="str">
        <f>IF('RATIO RESULTS'!$B19&lt;&gt;"",'RATIO RESULTS'!$AC19,"")</f>
        <v/>
      </c>
      <c r="I22" s="11" t="str">
        <f>IF('RATIO RESULTS'!$B19&lt;&gt;"",'RATIO RESULTS'!$AH19,"")</f>
        <v/>
      </c>
      <c r="J22" s="11" t="str">
        <f>IF('RATIO RESULTS'!$B19&lt;&gt;"",'RATIO RESULTS'!$AI19,"")</f>
        <v/>
      </c>
      <c r="K22" s="11" t="str">
        <f>IF('RATIO RESULTS'!$B19&lt;&gt;"",'RATIO RESULTS'!$F19,"")</f>
        <v/>
      </c>
      <c r="L22" s="11" t="str">
        <f>IF('RATIO RESULTS'!$B19&lt;&gt;"","Verify source figures before recording finding.","")</f>
        <v/>
      </c>
    </row>
    <row r="23" spans="1:12">
      <c r="A23" s="11" t="str">
        <f>IF('RATIO RESULTS'!$B20&lt;&gt;"",'RATIO RESULTS'!$A20,"")</f>
        <v/>
      </c>
      <c r="B23" s="11" t="str">
        <f>IF('RATIO RESULTS'!$B20&lt;&gt;"",'RATIO RESULTS'!$B20,"")</f>
        <v/>
      </c>
      <c r="C23" s="11" t="str">
        <f>IF('RATIO RESULTS'!$B20&lt;&gt;"",'RATIO RESULTS'!$C20,"")</f>
        <v/>
      </c>
      <c r="D23" s="11" t="str">
        <f>IF('RATIO RESULTS'!$B20&lt;&gt;"",'RATIO RESULTS'!$D20,"")</f>
        <v/>
      </c>
      <c r="E23" s="17" t="str">
        <f>IF('RATIO RESULTS'!$B20&lt;&gt;"",'RATIO RESULTS'!$P20,"")</f>
        <v/>
      </c>
      <c r="F23" s="17" t="str">
        <f>IF('RATIO RESULTS'!$B20&lt;&gt;"",'RATIO RESULTS'!$T20,"")</f>
        <v/>
      </c>
      <c r="G23" s="18" t="str">
        <f>IF('RATIO RESULTS'!$B20&lt;&gt;"",'RATIO RESULTS'!$J20,"")</f>
        <v/>
      </c>
      <c r="H23" s="19" t="str">
        <f>IF('RATIO RESULTS'!$B20&lt;&gt;"",'RATIO RESULTS'!$AC20,"")</f>
        <v/>
      </c>
      <c r="I23" s="11" t="str">
        <f>IF('RATIO RESULTS'!$B20&lt;&gt;"",'RATIO RESULTS'!$AH20,"")</f>
        <v/>
      </c>
      <c r="J23" s="11" t="str">
        <f>IF('RATIO RESULTS'!$B20&lt;&gt;"",'RATIO RESULTS'!$AI20,"")</f>
        <v/>
      </c>
      <c r="K23" s="11" t="str">
        <f>IF('RATIO RESULTS'!$B20&lt;&gt;"",'RATIO RESULTS'!$F20,"")</f>
        <v/>
      </c>
      <c r="L23" s="11" t="str">
        <f>IF('RATIO RESULTS'!$B20&lt;&gt;"","Verify source figures before recording finding.","")</f>
        <v/>
      </c>
    </row>
    <row r="24" spans="1:12">
      <c r="A24" s="11" t="str">
        <f>IF('RATIO RESULTS'!$B21&lt;&gt;"",'RATIO RESULTS'!$A21,"")</f>
        <v/>
      </c>
      <c r="B24" s="11" t="str">
        <f>IF('RATIO RESULTS'!$B21&lt;&gt;"",'RATIO RESULTS'!$B21,"")</f>
        <v/>
      </c>
      <c r="C24" s="11" t="str">
        <f>IF('RATIO RESULTS'!$B21&lt;&gt;"",'RATIO RESULTS'!$C21,"")</f>
        <v/>
      </c>
      <c r="D24" s="11" t="str">
        <f>IF('RATIO RESULTS'!$B21&lt;&gt;"",'RATIO RESULTS'!$D21,"")</f>
        <v/>
      </c>
      <c r="E24" s="17" t="str">
        <f>IF('RATIO RESULTS'!$B21&lt;&gt;"",'RATIO RESULTS'!$P21,"")</f>
        <v/>
      </c>
      <c r="F24" s="17" t="str">
        <f>IF('RATIO RESULTS'!$B21&lt;&gt;"",'RATIO RESULTS'!$T21,"")</f>
        <v/>
      </c>
      <c r="G24" s="18" t="str">
        <f>IF('RATIO RESULTS'!$B21&lt;&gt;"",'RATIO RESULTS'!$J21,"")</f>
        <v/>
      </c>
      <c r="H24" s="19" t="str">
        <f>IF('RATIO RESULTS'!$B21&lt;&gt;"",'RATIO RESULTS'!$AC21,"")</f>
        <v/>
      </c>
      <c r="I24" s="11" t="str">
        <f>IF('RATIO RESULTS'!$B21&lt;&gt;"",'RATIO RESULTS'!$AH21,"")</f>
        <v/>
      </c>
      <c r="J24" s="11" t="str">
        <f>IF('RATIO RESULTS'!$B21&lt;&gt;"",'RATIO RESULTS'!$AI21,"")</f>
        <v/>
      </c>
      <c r="K24" s="11" t="str">
        <f>IF('RATIO RESULTS'!$B21&lt;&gt;"",'RATIO RESULTS'!$F21,"")</f>
        <v/>
      </c>
      <c r="L24" s="11" t="str">
        <f>IF('RATIO RESULTS'!$B21&lt;&gt;"","Verify source figures before recording finding.","")</f>
        <v/>
      </c>
    </row>
    <row r="25" spans="1:12">
      <c r="A25" s="11" t="str">
        <f>IF('RATIO RESULTS'!$B22&lt;&gt;"",'RATIO RESULTS'!$A22,"")</f>
        <v/>
      </c>
      <c r="B25" s="11" t="str">
        <f>IF('RATIO RESULTS'!$B22&lt;&gt;"",'RATIO RESULTS'!$B22,"")</f>
        <v/>
      </c>
      <c r="C25" s="11" t="str">
        <f>IF('RATIO RESULTS'!$B22&lt;&gt;"",'RATIO RESULTS'!$C22,"")</f>
        <v/>
      </c>
      <c r="D25" s="11" t="str">
        <f>IF('RATIO RESULTS'!$B22&lt;&gt;"",'RATIO RESULTS'!$D22,"")</f>
        <v/>
      </c>
      <c r="E25" s="17" t="str">
        <f>IF('RATIO RESULTS'!$B22&lt;&gt;"",'RATIO RESULTS'!$P22,"")</f>
        <v/>
      </c>
      <c r="F25" s="17" t="str">
        <f>IF('RATIO RESULTS'!$B22&lt;&gt;"",'RATIO RESULTS'!$T22,"")</f>
        <v/>
      </c>
      <c r="G25" s="18" t="str">
        <f>IF('RATIO RESULTS'!$B22&lt;&gt;"",'RATIO RESULTS'!$J22,"")</f>
        <v/>
      </c>
      <c r="H25" s="19" t="str">
        <f>IF('RATIO RESULTS'!$B22&lt;&gt;"",'RATIO RESULTS'!$AC22,"")</f>
        <v/>
      </c>
      <c r="I25" s="11" t="str">
        <f>IF('RATIO RESULTS'!$B22&lt;&gt;"",'RATIO RESULTS'!$AH22,"")</f>
        <v/>
      </c>
      <c r="J25" s="11" t="str">
        <f>IF('RATIO RESULTS'!$B22&lt;&gt;"",'RATIO RESULTS'!$AI22,"")</f>
        <v/>
      </c>
      <c r="K25" s="11" t="str">
        <f>IF('RATIO RESULTS'!$B22&lt;&gt;"",'RATIO RESULTS'!$F22,"")</f>
        <v/>
      </c>
      <c r="L25" s="11" t="str">
        <f>IF('RATIO RESULTS'!$B22&lt;&gt;"","Verify source figures before recording finding.","")</f>
        <v/>
      </c>
    </row>
    <row r="26" spans="1:12">
      <c r="A26" s="11" t="str">
        <f>IF('RATIO RESULTS'!$B23&lt;&gt;"",'RATIO RESULTS'!$A23,"")</f>
        <v/>
      </c>
      <c r="B26" s="11" t="str">
        <f>IF('RATIO RESULTS'!$B23&lt;&gt;"",'RATIO RESULTS'!$B23,"")</f>
        <v/>
      </c>
      <c r="C26" s="11" t="str">
        <f>IF('RATIO RESULTS'!$B23&lt;&gt;"",'RATIO RESULTS'!$C23,"")</f>
        <v/>
      </c>
      <c r="D26" s="11" t="str">
        <f>IF('RATIO RESULTS'!$B23&lt;&gt;"",'RATIO RESULTS'!$D23,"")</f>
        <v/>
      </c>
      <c r="E26" s="17" t="str">
        <f>IF('RATIO RESULTS'!$B23&lt;&gt;"",'RATIO RESULTS'!$P23,"")</f>
        <v/>
      </c>
      <c r="F26" s="17" t="str">
        <f>IF('RATIO RESULTS'!$B23&lt;&gt;"",'RATIO RESULTS'!$T23,"")</f>
        <v/>
      </c>
      <c r="G26" s="18" t="str">
        <f>IF('RATIO RESULTS'!$B23&lt;&gt;"",'RATIO RESULTS'!$J23,"")</f>
        <v/>
      </c>
      <c r="H26" s="19" t="str">
        <f>IF('RATIO RESULTS'!$B23&lt;&gt;"",'RATIO RESULTS'!$AC23,"")</f>
        <v/>
      </c>
      <c r="I26" s="11" t="str">
        <f>IF('RATIO RESULTS'!$B23&lt;&gt;"",'RATIO RESULTS'!$AH23,"")</f>
        <v/>
      </c>
      <c r="J26" s="11" t="str">
        <f>IF('RATIO RESULTS'!$B23&lt;&gt;"",'RATIO RESULTS'!$AI23,"")</f>
        <v/>
      </c>
      <c r="K26" s="11" t="str">
        <f>IF('RATIO RESULTS'!$B23&lt;&gt;"",'RATIO RESULTS'!$F23,"")</f>
        <v/>
      </c>
      <c r="L26" s="11" t="str">
        <f>IF('RATIO RESULTS'!$B23&lt;&gt;"","Verify source figures before recording finding.","")</f>
        <v/>
      </c>
    </row>
    <row r="27" spans="1:12">
      <c r="A27" s="11" t="str">
        <f>IF('RATIO RESULTS'!$B24&lt;&gt;"",'RATIO RESULTS'!$A24,"")</f>
        <v/>
      </c>
      <c r="B27" s="11" t="str">
        <f>IF('RATIO RESULTS'!$B24&lt;&gt;"",'RATIO RESULTS'!$B24,"")</f>
        <v/>
      </c>
      <c r="C27" s="11" t="str">
        <f>IF('RATIO RESULTS'!$B24&lt;&gt;"",'RATIO RESULTS'!$C24,"")</f>
        <v/>
      </c>
      <c r="D27" s="11" t="str">
        <f>IF('RATIO RESULTS'!$B24&lt;&gt;"",'RATIO RESULTS'!$D24,"")</f>
        <v/>
      </c>
      <c r="E27" s="17" t="str">
        <f>IF('RATIO RESULTS'!$B24&lt;&gt;"",'RATIO RESULTS'!$P24,"")</f>
        <v/>
      </c>
      <c r="F27" s="17" t="str">
        <f>IF('RATIO RESULTS'!$B24&lt;&gt;"",'RATIO RESULTS'!$T24,"")</f>
        <v/>
      </c>
      <c r="G27" s="18" t="str">
        <f>IF('RATIO RESULTS'!$B24&lt;&gt;"",'RATIO RESULTS'!$J24,"")</f>
        <v/>
      </c>
      <c r="H27" s="19" t="str">
        <f>IF('RATIO RESULTS'!$B24&lt;&gt;"",'RATIO RESULTS'!$AC24,"")</f>
        <v/>
      </c>
      <c r="I27" s="11" t="str">
        <f>IF('RATIO RESULTS'!$B24&lt;&gt;"",'RATIO RESULTS'!$AH24,"")</f>
        <v/>
      </c>
      <c r="J27" s="11" t="str">
        <f>IF('RATIO RESULTS'!$B24&lt;&gt;"",'RATIO RESULTS'!$AI24,"")</f>
        <v/>
      </c>
      <c r="K27" s="11" t="str">
        <f>IF('RATIO RESULTS'!$B24&lt;&gt;"",'RATIO RESULTS'!$F24,"")</f>
        <v/>
      </c>
      <c r="L27" s="11" t="str">
        <f>IF('RATIO RESULTS'!$B24&lt;&gt;"","Verify source figures before recording finding.","")</f>
        <v/>
      </c>
    </row>
    <row r="28" spans="1:12">
      <c r="A28" s="11" t="str">
        <f>IF('RATIO RESULTS'!$B25&lt;&gt;"",'RATIO RESULTS'!$A25,"")</f>
        <v/>
      </c>
      <c r="B28" s="11" t="str">
        <f>IF('RATIO RESULTS'!$B25&lt;&gt;"",'RATIO RESULTS'!$B25,"")</f>
        <v/>
      </c>
      <c r="C28" s="11" t="str">
        <f>IF('RATIO RESULTS'!$B25&lt;&gt;"",'RATIO RESULTS'!$C25,"")</f>
        <v/>
      </c>
      <c r="D28" s="11" t="str">
        <f>IF('RATIO RESULTS'!$B25&lt;&gt;"",'RATIO RESULTS'!$D25,"")</f>
        <v/>
      </c>
      <c r="E28" s="17" t="str">
        <f>IF('RATIO RESULTS'!$B25&lt;&gt;"",'RATIO RESULTS'!$P25,"")</f>
        <v/>
      </c>
      <c r="F28" s="17" t="str">
        <f>IF('RATIO RESULTS'!$B25&lt;&gt;"",'RATIO RESULTS'!$T25,"")</f>
        <v/>
      </c>
      <c r="G28" s="18" t="str">
        <f>IF('RATIO RESULTS'!$B25&lt;&gt;"",'RATIO RESULTS'!$J25,"")</f>
        <v/>
      </c>
      <c r="H28" s="19" t="str">
        <f>IF('RATIO RESULTS'!$B25&lt;&gt;"",'RATIO RESULTS'!$AC25,"")</f>
        <v/>
      </c>
      <c r="I28" s="11" t="str">
        <f>IF('RATIO RESULTS'!$B25&lt;&gt;"",'RATIO RESULTS'!$AH25,"")</f>
        <v/>
      </c>
      <c r="J28" s="11" t="str">
        <f>IF('RATIO RESULTS'!$B25&lt;&gt;"",'RATIO RESULTS'!$AI25,"")</f>
        <v/>
      </c>
      <c r="K28" s="11" t="str">
        <f>IF('RATIO RESULTS'!$B25&lt;&gt;"",'RATIO RESULTS'!$F25,"")</f>
        <v/>
      </c>
      <c r="L28" s="11" t="str">
        <f>IF('RATIO RESULTS'!$B25&lt;&gt;"","Verify source figures before recording finding.","")</f>
        <v/>
      </c>
    </row>
    <row r="29" spans="1:12">
      <c r="A29" s="11" t="str">
        <f>IF('RATIO RESULTS'!$B26&lt;&gt;"",'RATIO RESULTS'!$A26,"")</f>
        <v/>
      </c>
      <c r="B29" s="11" t="str">
        <f>IF('RATIO RESULTS'!$B26&lt;&gt;"",'RATIO RESULTS'!$B26,"")</f>
        <v/>
      </c>
      <c r="C29" s="11" t="str">
        <f>IF('RATIO RESULTS'!$B26&lt;&gt;"",'RATIO RESULTS'!$C26,"")</f>
        <v/>
      </c>
      <c r="D29" s="11" t="str">
        <f>IF('RATIO RESULTS'!$B26&lt;&gt;"",'RATIO RESULTS'!$D26,"")</f>
        <v/>
      </c>
      <c r="E29" s="17" t="str">
        <f>IF('RATIO RESULTS'!$B26&lt;&gt;"",'RATIO RESULTS'!$P26,"")</f>
        <v/>
      </c>
      <c r="F29" s="17" t="str">
        <f>IF('RATIO RESULTS'!$B26&lt;&gt;"",'RATIO RESULTS'!$T26,"")</f>
        <v/>
      </c>
      <c r="G29" s="18" t="str">
        <f>IF('RATIO RESULTS'!$B26&lt;&gt;"",'RATIO RESULTS'!$J26,"")</f>
        <v/>
      </c>
      <c r="H29" s="19" t="str">
        <f>IF('RATIO RESULTS'!$B26&lt;&gt;"",'RATIO RESULTS'!$AC26,"")</f>
        <v/>
      </c>
      <c r="I29" s="11" t="str">
        <f>IF('RATIO RESULTS'!$B26&lt;&gt;"",'RATIO RESULTS'!$AH26,"")</f>
        <v/>
      </c>
      <c r="J29" s="11" t="str">
        <f>IF('RATIO RESULTS'!$B26&lt;&gt;"",'RATIO RESULTS'!$AI26,"")</f>
        <v/>
      </c>
      <c r="K29" s="11" t="str">
        <f>IF('RATIO RESULTS'!$B26&lt;&gt;"",'RATIO RESULTS'!$F26,"")</f>
        <v/>
      </c>
      <c r="L29" s="11" t="str">
        <f>IF('RATIO RESULTS'!$B26&lt;&gt;"","Verify source figures before recording finding.","")</f>
        <v/>
      </c>
    </row>
    <row r="30" spans="1:12">
      <c r="A30" s="11" t="str">
        <f>IF('RATIO RESULTS'!$B27&lt;&gt;"",'RATIO RESULTS'!$A27,"")</f>
        <v/>
      </c>
      <c r="B30" s="11" t="str">
        <f>IF('RATIO RESULTS'!$B27&lt;&gt;"",'RATIO RESULTS'!$B27,"")</f>
        <v/>
      </c>
      <c r="C30" s="11" t="str">
        <f>IF('RATIO RESULTS'!$B27&lt;&gt;"",'RATIO RESULTS'!$C27,"")</f>
        <v/>
      </c>
      <c r="D30" s="11" t="str">
        <f>IF('RATIO RESULTS'!$B27&lt;&gt;"",'RATIO RESULTS'!$D27,"")</f>
        <v/>
      </c>
      <c r="E30" s="17" t="str">
        <f>IF('RATIO RESULTS'!$B27&lt;&gt;"",'RATIO RESULTS'!$P27,"")</f>
        <v/>
      </c>
      <c r="F30" s="17" t="str">
        <f>IF('RATIO RESULTS'!$B27&lt;&gt;"",'RATIO RESULTS'!$T27,"")</f>
        <v/>
      </c>
      <c r="G30" s="18" t="str">
        <f>IF('RATIO RESULTS'!$B27&lt;&gt;"",'RATIO RESULTS'!$J27,"")</f>
        <v/>
      </c>
      <c r="H30" s="19" t="str">
        <f>IF('RATIO RESULTS'!$B27&lt;&gt;"",'RATIO RESULTS'!$AC27,"")</f>
        <v/>
      </c>
      <c r="I30" s="11" t="str">
        <f>IF('RATIO RESULTS'!$B27&lt;&gt;"",'RATIO RESULTS'!$AH27,"")</f>
        <v/>
      </c>
      <c r="J30" s="11" t="str">
        <f>IF('RATIO RESULTS'!$B27&lt;&gt;"",'RATIO RESULTS'!$AI27,"")</f>
        <v/>
      </c>
      <c r="K30" s="11" t="str">
        <f>IF('RATIO RESULTS'!$B27&lt;&gt;"",'RATIO RESULTS'!$F27,"")</f>
        <v/>
      </c>
      <c r="L30" s="11" t="str">
        <f>IF('RATIO RESULTS'!$B27&lt;&gt;"","Verify source figures before recording finding.","")</f>
        <v/>
      </c>
    </row>
    <row r="31" spans="1:12">
      <c r="A31" s="11" t="str">
        <f>IF('RATIO RESULTS'!$B28&lt;&gt;"",'RATIO RESULTS'!$A28,"")</f>
        <v/>
      </c>
      <c r="B31" s="11" t="str">
        <f>IF('RATIO RESULTS'!$B28&lt;&gt;"",'RATIO RESULTS'!$B28,"")</f>
        <v/>
      </c>
      <c r="C31" s="11" t="str">
        <f>IF('RATIO RESULTS'!$B28&lt;&gt;"",'RATIO RESULTS'!$C28,"")</f>
        <v/>
      </c>
      <c r="D31" s="11" t="str">
        <f>IF('RATIO RESULTS'!$B28&lt;&gt;"",'RATIO RESULTS'!$D28,"")</f>
        <v/>
      </c>
      <c r="E31" s="17" t="str">
        <f>IF('RATIO RESULTS'!$B28&lt;&gt;"",'RATIO RESULTS'!$P28,"")</f>
        <v/>
      </c>
      <c r="F31" s="17" t="str">
        <f>IF('RATIO RESULTS'!$B28&lt;&gt;"",'RATIO RESULTS'!$T28,"")</f>
        <v/>
      </c>
      <c r="G31" s="18" t="str">
        <f>IF('RATIO RESULTS'!$B28&lt;&gt;"",'RATIO RESULTS'!$J28,"")</f>
        <v/>
      </c>
      <c r="H31" s="19" t="str">
        <f>IF('RATIO RESULTS'!$B28&lt;&gt;"",'RATIO RESULTS'!$AC28,"")</f>
        <v/>
      </c>
      <c r="I31" s="11" t="str">
        <f>IF('RATIO RESULTS'!$B28&lt;&gt;"",'RATIO RESULTS'!$AH28,"")</f>
        <v/>
      </c>
      <c r="J31" s="11" t="str">
        <f>IF('RATIO RESULTS'!$B28&lt;&gt;"",'RATIO RESULTS'!$AI28,"")</f>
        <v/>
      </c>
      <c r="K31" s="11" t="str">
        <f>IF('RATIO RESULTS'!$B28&lt;&gt;"",'RATIO RESULTS'!$F28,"")</f>
        <v/>
      </c>
      <c r="L31" s="11" t="str">
        <f>IF('RATIO RESULTS'!$B28&lt;&gt;"","Verify source figures before recording finding.","")</f>
        <v/>
      </c>
    </row>
    <row r="32" spans="1:12">
      <c r="A32" s="11" t="str">
        <f>IF('RATIO RESULTS'!$B29&lt;&gt;"",'RATIO RESULTS'!$A29,"")</f>
        <v/>
      </c>
      <c r="B32" s="11" t="str">
        <f>IF('RATIO RESULTS'!$B29&lt;&gt;"",'RATIO RESULTS'!$B29,"")</f>
        <v/>
      </c>
      <c r="C32" s="11" t="str">
        <f>IF('RATIO RESULTS'!$B29&lt;&gt;"",'RATIO RESULTS'!$C29,"")</f>
        <v/>
      </c>
      <c r="D32" s="11" t="str">
        <f>IF('RATIO RESULTS'!$B29&lt;&gt;"",'RATIO RESULTS'!$D29,"")</f>
        <v/>
      </c>
      <c r="E32" s="17" t="str">
        <f>IF('RATIO RESULTS'!$B29&lt;&gt;"",'RATIO RESULTS'!$P29,"")</f>
        <v/>
      </c>
      <c r="F32" s="17" t="str">
        <f>IF('RATIO RESULTS'!$B29&lt;&gt;"",'RATIO RESULTS'!$T29,"")</f>
        <v/>
      </c>
      <c r="G32" s="18" t="str">
        <f>IF('RATIO RESULTS'!$B29&lt;&gt;"",'RATIO RESULTS'!$J29,"")</f>
        <v/>
      </c>
      <c r="H32" s="19" t="str">
        <f>IF('RATIO RESULTS'!$B29&lt;&gt;"",'RATIO RESULTS'!$AC29,"")</f>
        <v/>
      </c>
      <c r="I32" s="11" t="str">
        <f>IF('RATIO RESULTS'!$B29&lt;&gt;"",'RATIO RESULTS'!$AH29,"")</f>
        <v/>
      </c>
      <c r="J32" s="11" t="str">
        <f>IF('RATIO RESULTS'!$B29&lt;&gt;"",'RATIO RESULTS'!$AI29,"")</f>
        <v/>
      </c>
      <c r="K32" s="11" t="str">
        <f>IF('RATIO RESULTS'!$B29&lt;&gt;"",'RATIO RESULTS'!$F29,"")</f>
        <v/>
      </c>
      <c r="L32" s="11" t="str">
        <f>IF('RATIO RESULTS'!$B29&lt;&gt;"","Verify source figures before recording finding.","")</f>
        <v/>
      </c>
    </row>
    <row r="33" spans="1:12">
      <c r="A33" s="11" t="str">
        <f>IF('RATIO RESULTS'!$B30&lt;&gt;"",'RATIO RESULTS'!$A30,"")</f>
        <v/>
      </c>
      <c r="B33" s="11" t="str">
        <f>IF('RATIO RESULTS'!$B30&lt;&gt;"",'RATIO RESULTS'!$B30,"")</f>
        <v/>
      </c>
      <c r="C33" s="11" t="str">
        <f>IF('RATIO RESULTS'!$B30&lt;&gt;"",'RATIO RESULTS'!$C30,"")</f>
        <v/>
      </c>
      <c r="D33" s="11" t="str">
        <f>IF('RATIO RESULTS'!$B30&lt;&gt;"",'RATIO RESULTS'!$D30,"")</f>
        <v/>
      </c>
      <c r="E33" s="17" t="str">
        <f>IF('RATIO RESULTS'!$B30&lt;&gt;"",'RATIO RESULTS'!$P30,"")</f>
        <v/>
      </c>
      <c r="F33" s="17" t="str">
        <f>IF('RATIO RESULTS'!$B30&lt;&gt;"",'RATIO RESULTS'!$T30,"")</f>
        <v/>
      </c>
      <c r="G33" s="18" t="str">
        <f>IF('RATIO RESULTS'!$B30&lt;&gt;"",'RATIO RESULTS'!$J30,"")</f>
        <v/>
      </c>
      <c r="H33" s="19" t="str">
        <f>IF('RATIO RESULTS'!$B30&lt;&gt;"",'RATIO RESULTS'!$AC30,"")</f>
        <v/>
      </c>
      <c r="I33" s="11" t="str">
        <f>IF('RATIO RESULTS'!$B30&lt;&gt;"",'RATIO RESULTS'!$AH30,"")</f>
        <v/>
      </c>
      <c r="J33" s="11" t="str">
        <f>IF('RATIO RESULTS'!$B30&lt;&gt;"",'RATIO RESULTS'!$AI30,"")</f>
        <v/>
      </c>
      <c r="K33" s="11" t="str">
        <f>IF('RATIO RESULTS'!$B30&lt;&gt;"",'RATIO RESULTS'!$F30,"")</f>
        <v/>
      </c>
      <c r="L33" s="11" t="str">
        <f>IF('RATIO RESULTS'!$B30&lt;&gt;"","Verify source figures before recording finding.","")</f>
        <v/>
      </c>
    </row>
    <row r="34" spans="1:12">
      <c r="A34" s="11" t="str">
        <f>IF('RATIO RESULTS'!$B31&lt;&gt;"",'RATIO RESULTS'!$A31,"")</f>
        <v/>
      </c>
      <c r="B34" s="11" t="str">
        <f>IF('RATIO RESULTS'!$B31&lt;&gt;"",'RATIO RESULTS'!$B31,"")</f>
        <v/>
      </c>
      <c r="C34" s="11" t="str">
        <f>IF('RATIO RESULTS'!$B31&lt;&gt;"",'RATIO RESULTS'!$C31,"")</f>
        <v/>
      </c>
      <c r="D34" s="11" t="str">
        <f>IF('RATIO RESULTS'!$B31&lt;&gt;"",'RATIO RESULTS'!$D31,"")</f>
        <v/>
      </c>
      <c r="E34" s="17" t="str">
        <f>IF('RATIO RESULTS'!$B31&lt;&gt;"",'RATIO RESULTS'!$P31,"")</f>
        <v/>
      </c>
      <c r="F34" s="17" t="str">
        <f>IF('RATIO RESULTS'!$B31&lt;&gt;"",'RATIO RESULTS'!$T31,"")</f>
        <v/>
      </c>
      <c r="G34" s="18" t="str">
        <f>IF('RATIO RESULTS'!$B31&lt;&gt;"",'RATIO RESULTS'!$J31,"")</f>
        <v/>
      </c>
      <c r="H34" s="19" t="str">
        <f>IF('RATIO RESULTS'!$B31&lt;&gt;"",'RATIO RESULTS'!$AC31,"")</f>
        <v/>
      </c>
      <c r="I34" s="11" t="str">
        <f>IF('RATIO RESULTS'!$B31&lt;&gt;"",'RATIO RESULTS'!$AH31,"")</f>
        <v/>
      </c>
      <c r="J34" s="11" t="str">
        <f>IF('RATIO RESULTS'!$B31&lt;&gt;"",'RATIO RESULTS'!$AI31,"")</f>
        <v/>
      </c>
      <c r="K34" s="11" t="str">
        <f>IF('RATIO RESULTS'!$B31&lt;&gt;"",'RATIO RESULTS'!$F31,"")</f>
        <v/>
      </c>
      <c r="L34" s="11" t="str">
        <f>IF('RATIO RESULTS'!$B31&lt;&gt;"","Verify source figures before recording finding.","")</f>
        <v/>
      </c>
    </row>
    <row r="35" spans="1:12">
      <c r="A35" s="11" t="str">
        <f>IF('RATIO RESULTS'!$B32&lt;&gt;"",'RATIO RESULTS'!$A32,"")</f>
        <v/>
      </c>
      <c r="B35" s="11" t="str">
        <f>IF('RATIO RESULTS'!$B32&lt;&gt;"",'RATIO RESULTS'!$B32,"")</f>
        <v/>
      </c>
      <c r="C35" s="11" t="str">
        <f>IF('RATIO RESULTS'!$B32&lt;&gt;"",'RATIO RESULTS'!$C32,"")</f>
        <v/>
      </c>
      <c r="D35" s="11" t="str">
        <f>IF('RATIO RESULTS'!$B32&lt;&gt;"",'RATIO RESULTS'!$D32,"")</f>
        <v/>
      </c>
      <c r="E35" s="17" t="str">
        <f>IF('RATIO RESULTS'!$B32&lt;&gt;"",'RATIO RESULTS'!$P32,"")</f>
        <v/>
      </c>
      <c r="F35" s="17" t="str">
        <f>IF('RATIO RESULTS'!$B32&lt;&gt;"",'RATIO RESULTS'!$T32,"")</f>
        <v/>
      </c>
      <c r="G35" s="18" t="str">
        <f>IF('RATIO RESULTS'!$B32&lt;&gt;"",'RATIO RESULTS'!$J32,"")</f>
        <v/>
      </c>
      <c r="H35" s="19" t="str">
        <f>IF('RATIO RESULTS'!$B32&lt;&gt;"",'RATIO RESULTS'!$AC32,"")</f>
        <v/>
      </c>
      <c r="I35" s="11" t="str">
        <f>IF('RATIO RESULTS'!$B32&lt;&gt;"",'RATIO RESULTS'!$AH32,"")</f>
        <v/>
      </c>
      <c r="J35" s="11" t="str">
        <f>IF('RATIO RESULTS'!$B32&lt;&gt;"",'RATIO RESULTS'!$AI32,"")</f>
        <v/>
      </c>
      <c r="K35" s="11" t="str">
        <f>IF('RATIO RESULTS'!$B32&lt;&gt;"",'RATIO RESULTS'!$F32,"")</f>
        <v/>
      </c>
      <c r="L35" s="11" t="str">
        <f>IF('RATIO RESULTS'!$B32&lt;&gt;"","Verify source figures before recording finding.","")</f>
        <v/>
      </c>
    </row>
    <row r="36" spans="1:12">
      <c r="A36" s="11" t="str">
        <f>IF('RATIO RESULTS'!$B33&lt;&gt;"",'RATIO RESULTS'!$A33,"")</f>
        <v/>
      </c>
      <c r="B36" s="11" t="str">
        <f>IF('RATIO RESULTS'!$B33&lt;&gt;"",'RATIO RESULTS'!$B33,"")</f>
        <v/>
      </c>
      <c r="C36" s="11" t="str">
        <f>IF('RATIO RESULTS'!$B33&lt;&gt;"",'RATIO RESULTS'!$C33,"")</f>
        <v/>
      </c>
      <c r="D36" s="11" t="str">
        <f>IF('RATIO RESULTS'!$B33&lt;&gt;"",'RATIO RESULTS'!$D33,"")</f>
        <v/>
      </c>
      <c r="E36" s="17" t="str">
        <f>IF('RATIO RESULTS'!$B33&lt;&gt;"",'RATIO RESULTS'!$P33,"")</f>
        <v/>
      </c>
      <c r="F36" s="17" t="str">
        <f>IF('RATIO RESULTS'!$B33&lt;&gt;"",'RATIO RESULTS'!$T33,"")</f>
        <v/>
      </c>
      <c r="G36" s="18" t="str">
        <f>IF('RATIO RESULTS'!$B33&lt;&gt;"",'RATIO RESULTS'!$J33,"")</f>
        <v/>
      </c>
      <c r="H36" s="19" t="str">
        <f>IF('RATIO RESULTS'!$B33&lt;&gt;"",'RATIO RESULTS'!$AC33,"")</f>
        <v/>
      </c>
      <c r="I36" s="11" t="str">
        <f>IF('RATIO RESULTS'!$B33&lt;&gt;"",'RATIO RESULTS'!$AH33,"")</f>
        <v/>
      </c>
      <c r="J36" s="11" t="str">
        <f>IF('RATIO RESULTS'!$B33&lt;&gt;"",'RATIO RESULTS'!$AI33,"")</f>
        <v/>
      </c>
      <c r="K36" s="11" t="str">
        <f>IF('RATIO RESULTS'!$B33&lt;&gt;"",'RATIO RESULTS'!$F33,"")</f>
        <v/>
      </c>
      <c r="L36" s="11" t="str">
        <f>IF('RATIO RESULTS'!$B33&lt;&gt;"","Verify source figures before recording finding.","")</f>
        <v/>
      </c>
    </row>
    <row r="37" spans="1:12">
      <c r="A37" s="11" t="str">
        <f>IF('RATIO RESULTS'!$B34&lt;&gt;"",'RATIO RESULTS'!$A34,"")</f>
        <v/>
      </c>
      <c r="B37" s="11" t="str">
        <f>IF('RATIO RESULTS'!$B34&lt;&gt;"",'RATIO RESULTS'!$B34,"")</f>
        <v/>
      </c>
      <c r="C37" s="11" t="str">
        <f>IF('RATIO RESULTS'!$B34&lt;&gt;"",'RATIO RESULTS'!$C34,"")</f>
        <v/>
      </c>
      <c r="D37" s="11" t="str">
        <f>IF('RATIO RESULTS'!$B34&lt;&gt;"",'RATIO RESULTS'!$D34,"")</f>
        <v/>
      </c>
      <c r="E37" s="17" t="str">
        <f>IF('RATIO RESULTS'!$B34&lt;&gt;"",'RATIO RESULTS'!$P34,"")</f>
        <v/>
      </c>
      <c r="F37" s="17" t="str">
        <f>IF('RATIO RESULTS'!$B34&lt;&gt;"",'RATIO RESULTS'!$T34,"")</f>
        <v/>
      </c>
      <c r="G37" s="18" t="str">
        <f>IF('RATIO RESULTS'!$B34&lt;&gt;"",'RATIO RESULTS'!$J34,"")</f>
        <v/>
      </c>
      <c r="H37" s="19" t="str">
        <f>IF('RATIO RESULTS'!$B34&lt;&gt;"",'RATIO RESULTS'!$AC34,"")</f>
        <v/>
      </c>
      <c r="I37" s="11" t="str">
        <f>IF('RATIO RESULTS'!$B34&lt;&gt;"",'RATIO RESULTS'!$AH34,"")</f>
        <v/>
      </c>
      <c r="J37" s="11" t="str">
        <f>IF('RATIO RESULTS'!$B34&lt;&gt;"",'RATIO RESULTS'!$AI34,"")</f>
        <v/>
      </c>
      <c r="K37" s="11" t="str">
        <f>IF('RATIO RESULTS'!$B34&lt;&gt;"",'RATIO RESULTS'!$F34,"")</f>
        <v/>
      </c>
      <c r="L37" s="11" t="str">
        <f>IF('RATIO RESULTS'!$B34&lt;&gt;"","Verify source figures before recording finding.","")</f>
        <v/>
      </c>
    </row>
    <row r="38" spans="1:12">
      <c r="A38" s="11" t="str">
        <f>IF('RATIO RESULTS'!$B35&lt;&gt;"",'RATIO RESULTS'!$A35,"")</f>
        <v/>
      </c>
      <c r="B38" s="11" t="str">
        <f>IF('RATIO RESULTS'!$B35&lt;&gt;"",'RATIO RESULTS'!$B35,"")</f>
        <v/>
      </c>
      <c r="C38" s="11" t="str">
        <f>IF('RATIO RESULTS'!$B35&lt;&gt;"",'RATIO RESULTS'!$C35,"")</f>
        <v/>
      </c>
      <c r="D38" s="11" t="str">
        <f>IF('RATIO RESULTS'!$B35&lt;&gt;"",'RATIO RESULTS'!$D35,"")</f>
        <v/>
      </c>
      <c r="E38" s="17" t="str">
        <f>IF('RATIO RESULTS'!$B35&lt;&gt;"",'RATIO RESULTS'!$P35,"")</f>
        <v/>
      </c>
      <c r="F38" s="17" t="str">
        <f>IF('RATIO RESULTS'!$B35&lt;&gt;"",'RATIO RESULTS'!$T35,"")</f>
        <v/>
      </c>
      <c r="G38" s="18" t="str">
        <f>IF('RATIO RESULTS'!$B35&lt;&gt;"",'RATIO RESULTS'!$J35,"")</f>
        <v/>
      </c>
      <c r="H38" s="19" t="str">
        <f>IF('RATIO RESULTS'!$B35&lt;&gt;"",'RATIO RESULTS'!$AC35,"")</f>
        <v/>
      </c>
      <c r="I38" s="11" t="str">
        <f>IF('RATIO RESULTS'!$B35&lt;&gt;"",'RATIO RESULTS'!$AH35,"")</f>
        <v/>
      </c>
      <c r="J38" s="11" t="str">
        <f>IF('RATIO RESULTS'!$B35&lt;&gt;"",'RATIO RESULTS'!$AI35,"")</f>
        <v/>
      </c>
      <c r="K38" s="11" t="str">
        <f>IF('RATIO RESULTS'!$B35&lt;&gt;"",'RATIO RESULTS'!$F35,"")</f>
        <v/>
      </c>
      <c r="L38" s="11" t="str">
        <f>IF('RATIO RESULTS'!$B35&lt;&gt;"","Verify source figures before recording finding.","")</f>
        <v/>
      </c>
    </row>
  </sheetData>
  <mergeCells count="14">
    <mergeCell ref="A1:L1"/>
    <mergeCell ref="A2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</mergeCell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1" sqref="A1:H1"/>
    </sheetView>
  </sheetViews>
  <sheetFormatPr defaultColWidth="8.68181818181818" defaultRowHeight="14.5" outlineLevelCol="7"/>
  <cols>
    <col min="1" max="1" width="8" style="1" customWidth="1"/>
    <col min="2" max="2" width="26" style="1" customWidth="1"/>
    <col min="3" max="3" width="10" style="1" customWidth="1"/>
    <col min="4" max="4" width="22" style="1" customWidth="1"/>
    <col min="5" max="5" width="26" style="1" customWidth="1"/>
    <col min="6" max="6" width="70" style="1" customWidth="1"/>
    <col min="7" max="7" width="38" style="1" customWidth="1"/>
    <col min="8" max="8" width="34" style="1" customWidth="1"/>
  </cols>
  <sheetData>
    <row r="1" ht="27.75" customHeight="1" spans="1:8">
      <c r="A1" s="5" t="s">
        <v>104</v>
      </c>
      <c r="B1" s="5"/>
      <c r="C1" s="5"/>
      <c r="D1" s="5"/>
      <c r="E1" s="5"/>
      <c r="F1" s="5"/>
      <c r="G1" s="5"/>
      <c r="H1" s="5"/>
    </row>
    <row r="2" ht="15" customHeight="1" spans="1:8">
      <c r="A2" s="6" t="s">
        <v>105</v>
      </c>
      <c r="B2" s="6"/>
      <c r="C2" s="6"/>
      <c r="D2" s="6"/>
      <c r="E2" s="6"/>
      <c r="F2" s="6"/>
      <c r="G2" s="6"/>
      <c r="H2" s="6"/>
    </row>
    <row r="3" ht="12.5" spans="1:8">
      <c r="A3" s="6"/>
      <c r="B3" s="6"/>
      <c r="C3" s="6"/>
      <c r="D3" s="6"/>
      <c r="E3" s="6"/>
      <c r="F3" s="6"/>
      <c r="G3" s="6"/>
      <c r="H3" s="6"/>
    </row>
    <row r="4" spans="1:8">
      <c r="A4" s="4"/>
      <c r="B4" s="4"/>
      <c r="C4" s="4"/>
      <c r="D4" s="4"/>
      <c r="E4" s="4"/>
      <c r="F4" s="4"/>
      <c r="G4" s="4"/>
      <c r="H4" s="4"/>
    </row>
    <row r="5" ht="13" spans="1:8">
      <c r="A5" s="12" t="s">
        <v>97</v>
      </c>
      <c r="B5" s="12" t="s">
        <v>98</v>
      </c>
      <c r="C5" s="12" t="s">
        <v>58</v>
      </c>
      <c r="D5" s="12" t="s">
        <v>101</v>
      </c>
      <c r="E5" s="12" t="s">
        <v>88</v>
      </c>
      <c r="F5" s="12" t="s">
        <v>106</v>
      </c>
      <c r="G5" s="12" t="s">
        <v>107</v>
      </c>
      <c r="H5" s="12" t="s">
        <v>108</v>
      </c>
    </row>
    <row r="6" spans="1:8">
      <c r="A6" s="13" t="str">
        <f>IF('RATIO RESULTS'!$B6&lt;&gt;"",'RATIO RESULTS'!$A6,"")</f>
        <v/>
      </c>
      <c r="B6" s="13" t="str">
        <f>IF('RATIO RESULTS'!$B6&lt;&gt;"",'RATIO RESULTS'!$B6,"")</f>
        <v/>
      </c>
      <c r="C6" s="13" t="str">
        <f>IF('RATIO RESULTS'!$B6&lt;&gt;"",'RATIO RESULTS'!$D6,"")</f>
        <v/>
      </c>
      <c r="D6" s="13" t="str">
        <f>IF('RATIO RESULTS'!$B6&lt;&gt;"",'RATIO RESULTS'!$AH6,"")</f>
        <v/>
      </c>
      <c r="E6" s="13" t="str">
        <f>IF('RATIO RESULTS'!$B6&lt;&gt;"",'RATIO RESULTS'!$AI6,"")</f>
        <v/>
      </c>
      <c r="F6" s="13" t="str">
        <f>IF('RATIO RESULTS'!$B6="","","The Committee reviewed "&amp;'RATIO RESULTS'!$B6&amp;" for financial year "&amp;'RATIO RESULTS'!$D6&amp;" using the submitted financial statement figures entered in the workbook. On a first-pass screening basis, the bidder is assessed as "&amp;LOWER('RATIO RESULTS'!$AH6)&amp;". Key indicators include Current Ratio "&amp;IF(ISNUMBER('RATIO RESULTS'!$P6),TEXT('RATIO RESULTS'!$P6,"0.00"),"not available")&amp;", Debt-to-Equity "&amp;IF(ISNUMBER('RATIO RESULTS'!$T6),TEXT('RATIO RESULTS'!$T6,"0.00"),"not available")&amp;", Net Profit Margin "&amp;IF(ISNUMBER('RATIO RESULTS'!$J6),TEXT('RATIO RESULTS'!$J6,"0.00%"),"not available")&amp;", and Working Capital of "&amp;IF(ISNUMBER('RATIO RESULTS'!$AC6),"TTD "&amp;TEXT('RATIO RESULTS'!$AC6,"#,##0"),"not available")&amp;". The main flag noted is: "&amp;'RATIO RESULTS'!$AI6&amp;". This is a screening finding only and must be read with the approved prequalification criteria and the source documents.")</f>
        <v/>
      </c>
      <c r="G6" s="13" t="str">
        <f>IF('RATIO RESULTS'!$B6="","",IF('RATIO RESULTS'!$F6&lt;&gt;"Checked","Confirm source figures and financial year used.",IF('RATIO RESULTS'!$AI6="Negative equity — possible insolvency","Request clarification on negative equity, accumulated losses, and any restructuring or capital injection plans.",IF('RATIO RESULTS'!$AI6="Loss position","Request explanation for loss position and evidence of capacity to perform.",IF('RATIO RESULTS'!$AI6="Current liabilities exceed current assets","Seek clarification on short-term liquidity and ability to fund mobilisation.",IF('RATIO RESULTS'!$AI6="High leverage","Seek clarification on debt service and financing support.",IF('RATIO RESULTS'!$AI6="Slow receivables collection","Seek receivables ageing and collection status.",IF('RATIO RESULTS'!$AI6="Negative working capital","Seek clarification on working-capital support.",IF('RATIO RESULTS'!$AI6="Statement status limits weight on ratios","Request audited statements before relying on these ratios.","No automatic clarification from ratio screen. Verify against criteria.")))))))))</f>
        <v/>
      </c>
      <c r="H6" s="13" t="str">
        <f>IF('RATIO RESULTS'!$B6&lt;&gt;"","Chair to confirm source statement, year, line item, formula and approved criteria before use.","")</f>
        <v/>
      </c>
    </row>
    <row r="7" spans="1:8">
      <c r="A7" s="13" t="str">
        <f>IF('RATIO RESULTS'!$B7&lt;&gt;"",'RATIO RESULTS'!$A7,"")</f>
        <v/>
      </c>
      <c r="B7" s="13" t="str">
        <f>IF('RATIO RESULTS'!$B7&lt;&gt;"",'RATIO RESULTS'!$B7,"")</f>
        <v/>
      </c>
      <c r="C7" s="13" t="str">
        <f>IF('RATIO RESULTS'!$B7&lt;&gt;"",'RATIO RESULTS'!$D7,"")</f>
        <v/>
      </c>
      <c r="D7" s="13" t="str">
        <f>IF('RATIO RESULTS'!$B7&lt;&gt;"",'RATIO RESULTS'!$AH7,"")</f>
        <v/>
      </c>
      <c r="E7" s="13" t="str">
        <f>IF('RATIO RESULTS'!$B7&lt;&gt;"",'RATIO RESULTS'!$AI7,"")</f>
        <v/>
      </c>
      <c r="F7" s="13" t="str">
        <f>IF('RATIO RESULTS'!$B7="","","The Committee reviewed "&amp;'RATIO RESULTS'!$B7&amp;" for financial year "&amp;'RATIO RESULTS'!$D7&amp;" using the submitted financial statement figures entered in the workbook. On a first-pass screening basis, the bidder is assessed as "&amp;LOWER('RATIO RESULTS'!$AH7)&amp;". Key indicators include Current Ratio "&amp;IF(ISNUMBER('RATIO RESULTS'!$P7),TEXT('RATIO RESULTS'!$P7,"0.00"),"not available")&amp;", Debt-to-Equity "&amp;IF(ISNUMBER('RATIO RESULTS'!$T7),TEXT('RATIO RESULTS'!$T7,"0.00"),"not available")&amp;", Net Profit Margin "&amp;IF(ISNUMBER('RATIO RESULTS'!$J7),TEXT('RATIO RESULTS'!$J7,"0.00%"),"not available")&amp;", and Working Capital of "&amp;IF(ISNUMBER('RATIO RESULTS'!$AC7),"TTD "&amp;TEXT('RATIO RESULTS'!$AC7,"#,##0"),"not available")&amp;". The main flag noted is: "&amp;'RATIO RESULTS'!$AI7&amp;". This is a screening finding only and must be read with the approved prequalification criteria and the source documents.")</f>
        <v/>
      </c>
      <c r="G7" s="13" t="str">
        <f>IF('RATIO RESULTS'!$B7="","",IF('RATIO RESULTS'!$F7&lt;&gt;"Checked","Confirm source figures and financial year used.",IF('RATIO RESULTS'!$AI7="Negative equity — possible insolvency","Request clarification on negative equity, accumulated losses, and any restructuring or capital injection plans.",IF('RATIO RESULTS'!$AI7="Loss position","Request explanation for loss position and evidence of capacity to perform.",IF('RATIO RESULTS'!$AI7="Current liabilities exceed current assets","Seek clarification on short-term liquidity and ability to fund mobilisation.",IF('RATIO RESULTS'!$AI7="High leverage","Seek clarification on debt service and financing support.",IF('RATIO RESULTS'!$AI7="Slow receivables collection","Seek receivables ageing and collection status.",IF('RATIO RESULTS'!$AI7="Negative working capital","Seek clarification on working-capital support.",IF('RATIO RESULTS'!$AI7="Statement status limits weight on ratios","Request audited statements before relying on these ratios.","No automatic clarification from ratio screen. Verify against criteria.")))))))))</f>
        <v/>
      </c>
      <c r="H7" s="13" t="str">
        <f>IF('RATIO RESULTS'!$B7&lt;&gt;"","Chair to confirm source statement, year, line item, formula and approved criteria before use.","")</f>
        <v/>
      </c>
    </row>
    <row r="8" spans="1:8">
      <c r="A8" s="13" t="str">
        <f>IF('RATIO RESULTS'!$B8&lt;&gt;"",'RATIO RESULTS'!$A8,"")</f>
        <v/>
      </c>
      <c r="B8" s="13" t="str">
        <f>IF('RATIO RESULTS'!$B8&lt;&gt;"",'RATIO RESULTS'!$B8,"")</f>
        <v/>
      </c>
      <c r="C8" s="13" t="str">
        <f>IF('RATIO RESULTS'!$B8&lt;&gt;"",'RATIO RESULTS'!$D8,"")</f>
        <v/>
      </c>
      <c r="D8" s="13" t="str">
        <f>IF('RATIO RESULTS'!$B8&lt;&gt;"",'RATIO RESULTS'!$AH8,"")</f>
        <v/>
      </c>
      <c r="E8" s="13" t="str">
        <f>IF('RATIO RESULTS'!$B8&lt;&gt;"",'RATIO RESULTS'!$AI8,"")</f>
        <v/>
      </c>
      <c r="F8" s="13" t="str">
        <f>IF('RATIO RESULTS'!$B8="","","The Committee reviewed "&amp;'RATIO RESULTS'!$B8&amp;" for financial year "&amp;'RATIO RESULTS'!$D8&amp;" using the submitted financial statement figures entered in the workbook. On a first-pass screening basis, the bidder is assessed as "&amp;LOWER('RATIO RESULTS'!$AH8)&amp;". Key indicators include Current Ratio "&amp;IF(ISNUMBER('RATIO RESULTS'!$P8),TEXT('RATIO RESULTS'!$P8,"0.00"),"not available")&amp;", Debt-to-Equity "&amp;IF(ISNUMBER('RATIO RESULTS'!$T8),TEXT('RATIO RESULTS'!$T8,"0.00"),"not available")&amp;", Net Profit Margin "&amp;IF(ISNUMBER('RATIO RESULTS'!$J8),TEXT('RATIO RESULTS'!$J8,"0.00%"),"not available")&amp;", and Working Capital of "&amp;IF(ISNUMBER('RATIO RESULTS'!$AC8),"TTD "&amp;TEXT('RATIO RESULTS'!$AC8,"#,##0"),"not available")&amp;". The main flag noted is: "&amp;'RATIO RESULTS'!$AI8&amp;". This is a screening finding only and must be read with the approved prequalification criteria and the source documents.")</f>
        <v/>
      </c>
      <c r="G8" s="13" t="str">
        <f>IF('RATIO RESULTS'!$B8="","",IF('RATIO RESULTS'!$F8&lt;&gt;"Checked","Confirm source figures and financial year used.",IF('RATIO RESULTS'!$AI8="Negative equity — possible insolvency","Request clarification on negative equity, accumulated losses, and any restructuring or capital injection plans.",IF('RATIO RESULTS'!$AI8="Loss position","Request explanation for loss position and evidence of capacity to perform.",IF('RATIO RESULTS'!$AI8="Current liabilities exceed current assets","Seek clarification on short-term liquidity and ability to fund mobilisation.",IF('RATIO RESULTS'!$AI8="High leverage","Seek clarification on debt service and financing support.",IF('RATIO RESULTS'!$AI8="Slow receivables collection","Seek receivables ageing and collection status.",IF('RATIO RESULTS'!$AI8="Negative working capital","Seek clarification on working-capital support.",IF('RATIO RESULTS'!$AI8="Statement status limits weight on ratios","Request audited statements before relying on these ratios.","No automatic clarification from ratio screen. Verify against criteria.")))))))))</f>
        <v/>
      </c>
      <c r="H8" s="13" t="str">
        <f>IF('RATIO RESULTS'!$B8&lt;&gt;"","Chair to confirm source statement, year, line item, formula and approved criteria before use.","")</f>
        <v/>
      </c>
    </row>
    <row r="9" spans="1:8">
      <c r="A9" s="13" t="str">
        <f>IF('RATIO RESULTS'!$B9&lt;&gt;"",'RATIO RESULTS'!$A9,"")</f>
        <v/>
      </c>
      <c r="B9" s="13" t="str">
        <f>IF('RATIO RESULTS'!$B9&lt;&gt;"",'RATIO RESULTS'!$B9,"")</f>
        <v/>
      </c>
      <c r="C9" s="13" t="str">
        <f>IF('RATIO RESULTS'!$B9&lt;&gt;"",'RATIO RESULTS'!$D9,"")</f>
        <v/>
      </c>
      <c r="D9" s="13" t="str">
        <f>IF('RATIO RESULTS'!$B9&lt;&gt;"",'RATIO RESULTS'!$AH9,"")</f>
        <v/>
      </c>
      <c r="E9" s="13" t="str">
        <f>IF('RATIO RESULTS'!$B9&lt;&gt;"",'RATIO RESULTS'!$AI9,"")</f>
        <v/>
      </c>
      <c r="F9" s="13" t="str">
        <f>IF('RATIO RESULTS'!$B9="","","The Committee reviewed "&amp;'RATIO RESULTS'!$B9&amp;" for financial year "&amp;'RATIO RESULTS'!$D9&amp;" using the submitted financial statement figures entered in the workbook. On a first-pass screening basis, the bidder is assessed as "&amp;LOWER('RATIO RESULTS'!$AH9)&amp;". Key indicators include Current Ratio "&amp;IF(ISNUMBER('RATIO RESULTS'!$P9),TEXT('RATIO RESULTS'!$P9,"0.00"),"not available")&amp;", Debt-to-Equity "&amp;IF(ISNUMBER('RATIO RESULTS'!$T9),TEXT('RATIO RESULTS'!$T9,"0.00"),"not available")&amp;", Net Profit Margin "&amp;IF(ISNUMBER('RATIO RESULTS'!$J9),TEXT('RATIO RESULTS'!$J9,"0.00%"),"not available")&amp;", and Working Capital of "&amp;IF(ISNUMBER('RATIO RESULTS'!$AC9),"TTD "&amp;TEXT('RATIO RESULTS'!$AC9,"#,##0"),"not available")&amp;". The main flag noted is: "&amp;'RATIO RESULTS'!$AI9&amp;". This is a screening finding only and must be read with the approved prequalification criteria and the source documents.")</f>
        <v/>
      </c>
      <c r="G9" s="13" t="str">
        <f>IF('RATIO RESULTS'!$B9="","",IF('RATIO RESULTS'!$F9&lt;&gt;"Checked","Confirm source figures and financial year used.",IF('RATIO RESULTS'!$AI9="Negative equity — possible insolvency","Request clarification on negative equity, accumulated losses, and any restructuring or capital injection plans.",IF('RATIO RESULTS'!$AI9="Loss position","Request explanation for loss position and evidence of capacity to perform.",IF('RATIO RESULTS'!$AI9="Current liabilities exceed current assets","Seek clarification on short-term liquidity and ability to fund mobilisation.",IF('RATIO RESULTS'!$AI9="High leverage","Seek clarification on debt service and financing support.",IF('RATIO RESULTS'!$AI9="Slow receivables collection","Seek receivables ageing and collection status.",IF('RATIO RESULTS'!$AI9="Negative working capital","Seek clarification on working-capital support.",IF('RATIO RESULTS'!$AI9="Statement status limits weight on ratios","Request audited statements before relying on these ratios.","No automatic clarification from ratio screen. Verify against criteria.")))))))))</f>
        <v/>
      </c>
      <c r="H9" s="13" t="str">
        <f>IF('RATIO RESULTS'!$B9&lt;&gt;"","Chair to confirm source statement, year, line item, formula and approved criteria before use.","")</f>
        <v/>
      </c>
    </row>
    <row r="10" spans="1:8">
      <c r="A10" s="13" t="str">
        <f>IF('RATIO RESULTS'!$B10&lt;&gt;"",'RATIO RESULTS'!$A10,"")</f>
        <v/>
      </c>
      <c r="B10" s="13" t="str">
        <f>IF('RATIO RESULTS'!$B10&lt;&gt;"",'RATIO RESULTS'!$B10,"")</f>
        <v/>
      </c>
      <c r="C10" s="13" t="str">
        <f>IF('RATIO RESULTS'!$B10&lt;&gt;"",'RATIO RESULTS'!$D10,"")</f>
        <v/>
      </c>
      <c r="D10" s="13" t="str">
        <f>IF('RATIO RESULTS'!$B10&lt;&gt;"",'RATIO RESULTS'!$AH10,"")</f>
        <v/>
      </c>
      <c r="E10" s="13" t="str">
        <f>IF('RATIO RESULTS'!$B10&lt;&gt;"",'RATIO RESULTS'!$AI10,"")</f>
        <v/>
      </c>
      <c r="F10" s="13" t="str">
        <f>IF('RATIO RESULTS'!$B10="","","The Committee reviewed "&amp;'RATIO RESULTS'!$B10&amp;" for financial year "&amp;'RATIO RESULTS'!$D10&amp;" using the submitted financial statement figures entered in the workbook. On a first-pass screening basis, the bidder is assessed as "&amp;LOWER('RATIO RESULTS'!$AH10)&amp;". Key indicators include Current Ratio "&amp;IF(ISNUMBER('RATIO RESULTS'!$P10),TEXT('RATIO RESULTS'!$P10,"0.00"),"not available")&amp;", Debt-to-Equity "&amp;IF(ISNUMBER('RATIO RESULTS'!$T10),TEXT('RATIO RESULTS'!$T10,"0.00"),"not available")&amp;", Net Profit Margin "&amp;IF(ISNUMBER('RATIO RESULTS'!$J10),TEXT('RATIO RESULTS'!$J10,"0.00%"),"not available")&amp;", and Working Capital of "&amp;IF(ISNUMBER('RATIO RESULTS'!$AC10),"TTD "&amp;TEXT('RATIO RESULTS'!$AC10,"#,##0"),"not available")&amp;". The main flag noted is: "&amp;'RATIO RESULTS'!$AI10&amp;". This is a screening finding only and must be read with the approved prequalification criteria and the source documents.")</f>
        <v/>
      </c>
      <c r="G10" s="13" t="str">
        <f>IF('RATIO RESULTS'!$B10="","",IF('RATIO RESULTS'!$F10&lt;&gt;"Checked","Confirm source figures and financial year used.",IF('RATIO RESULTS'!$AI10="Negative equity — possible insolvency","Request clarification on negative equity, accumulated losses, and any restructuring or capital injection plans.",IF('RATIO RESULTS'!$AI10="Loss position","Request explanation for loss position and evidence of capacity to perform.",IF('RATIO RESULTS'!$AI10="Current liabilities exceed current assets","Seek clarification on short-term liquidity and ability to fund mobilisation.",IF('RATIO RESULTS'!$AI10="High leverage","Seek clarification on debt service and financing support.",IF('RATIO RESULTS'!$AI10="Slow receivables collection","Seek receivables ageing and collection status.",IF('RATIO RESULTS'!$AI10="Negative working capital","Seek clarification on working-capital support.",IF('RATIO RESULTS'!$AI10="Statement status limits weight on ratios","Request audited statements before relying on these ratios.","No automatic clarification from ratio screen. Verify against criteria.")))))))))</f>
        <v/>
      </c>
      <c r="H10" s="13" t="str">
        <f>IF('RATIO RESULTS'!$B10&lt;&gt;"","Chair to confirm source statement, year, line item, formula and approved criteria before use.","")</f>
        <v/>
      </c>
    </row>
    <row r="11" spans="1:8">
      <c r="A11" s="13" t="str">
        <f>IF('RATIO RESULTS'!$B11&lt;&gt;"",'RATIO RESULTS'!$A11,"")</f>
        <v/>
      </c>
      <c r="B11" s="13" t="str">
        <f>IF('RATIO RESULTS'!$B11&lt;&gt;"",'RATIO RESULTS'!$B11,"")</f>
        <v/>
      </c>
      <c r="C11" s="13" t="str">
        <f>IF('RATIO RESULTS'!$B11&lt;&gt;"",'RATIO RESULTS'!$D11,"")</f>
        <v/>
      </c>
      <c r="D11" s="13" t="str">
        <f>IF('RATIO RESULTS'!$B11&lt;&gt;"",'RATIO RESULTS'!$AH11,"")</f>
        <v/>
      </c>
      <c r="E11" s="13" t="str">
        <f>IF('RATIO RESULTS'!$B11&lt;&gt;"",'RATIO RESULTS'!$AI11,"")</f>
        <v/>
      </c>
      <c r="F11" s="13" t="str">
        <f>IF('RATIO RESULTS'!$B11="","","The Committee reviewed "&amp;'RATIO RESULTS'!$B11&amp;" for financial year "&amp;'RATIO RESULTS'!$D11&amp;" using the submitted financial statement figures entered in the workbook. On a first-pass screening basis, the bidder is assessed as "&amp;LOWER('RATIO RESULTS'!$AH11)&amp;". Key indicators include Current Ratio "&amp;IF(ISNUMBER('RATIO RESULTS'!$P11),TEXT('RATIO RESULTS'!$P11,"0.00"),"not available")&amp;", Debt-to-Equity "&amp;IF(ISNUMBER('RATIO RESULTS'!$T11),TEXT('RATIO RESULTS'!$T11,"0.00"),"not available")&amp;", Net Profit Margin "&amp;IF(ISNUMBER('RATIO RESULTS'!$J11),TEXT('RATIO RESULTS'!$J11,"0.00%"),"not available")&amp;", and Working Capital of "&amp;IF(ISNUMBER('RATIO RESULTS'!$AC11),"TTD "&amp;TEXT('RATIO RESULTS'!$AC11,"#,##0"),"not available")&amp;". The main flag noted is: "&amp;'RATIO RESULTS'!$AI11&amp;". This is a screening finding only and must be read with the approved prequalification criteria and the source documents.")</f>
        <v/>
      </c>
      <c r="G11" s="13" t="str">
        <f>IF('RATIO RESULTS'!$B11="","",IF('RATIO RESULTS'!$F11&lt;&gt;"Checked","Confirm source figures and financial year used.",IF('RATIO RESULTS'!$AI11="Negative equity — possible insolvency","Request clarification on negative equity, accumulated losses, and any restructuring or capital injection plans.",IF('RATIO RESULTS'!$AI11="Loss position","Request explanation for loss position and evidence of capacity to perform.",IF('RATIO RESULTS'!$AI11="Current liabilities exceed current assets","Seek clarification on short-term liquidity and ability to fund mobilisation.",IF('RATIO RESULTS'!$AI11="High leverage","Seek clarification on debt service and financing support.",IF('RATIO RESULTS'!$AI11="Slow receivables collection","Seek receivables ageing and collection status.",IF('RATIO RESULTS'!$AI11="Negative working capital","Seek clarification on working-capital support.",IF('RATIO RESULTS'!$AI11="Statement status limits weight on ratios","Request audited statements before relying on these ratios.","No automatic clarification from ratio screen. Verify against criteria.")))))))))</f>
        <v/>
      </c>
      <c r="H11" s="13" t="str">
        <f>IF('RATIO RESULTS'!$B11&lt;&gt;"","Chair to confirm source statement, year, line item, formula and approved criteria before use.","")</f>
        <v/>
      </c>
    </row>
    <row r="12" spans="1:8">
      <c r="A12" s="13" t="str">
        <f>IF('RATIO RESULTS'!$B12&lt;&gt;"",'RATIO RESULTS'!$A12,"")</f>
        <v/>
      </c>
      <c r="B12" s="13" t="str">
        <f>IF('RATIO RESULTS'!$B12&lt;&gt;"",'RATIO RESULTS'!$B12,"")</f>
        <v/>
      </c>
      <c r="C12" s="13" t="str">
        <f>IF('RATIO RESULTS'!$B12&lt;&gt;"",'RATIO RESULTS'!$D12,"")</f>
        <v/>
      </c>
      <c r="D12" s="13" t="str">
        <f>IF('RATIO RESULTS'!$B12&lt;&gt;"",'RATIO RESULTS'!$AH12,"")</f>
        <v/>
      </c>
      <c r="E12" s="13" t="str">
        <f>IF('RATIO RESULTS'!$B12&lt;&gt;"",'RATIO RESULTS'!$AI12,"")</f>
        <v/>
      </c>
      <c r="F12" s="13" t="str">
        <f>IF('RATIO RESULTS'!$B12="","","The Committee reviewed "&amp;'RATIO RESULTS'!$B12&amp;" for financial year "&amp;'RATIO RESULTS'!$D12&amp;" using the submitted financial statement figures entered in the workbook. On a first-pass screening basis, the bidder is assessed as "&amp;LOWER('RATIO RESULTS'!$AH12)&amp;". Key indicators include Current Ratio "&amp;IF(ISNUMBER('RATIO RESULTS'!$P12),TEXT('RATIO RESULTS'!$P12,"0.00"),"not available")&amp;", Debt-to-Equity "&amp;IF(ISNUMBER('RATIO RESULTS'!$T12),TEXT('RATIO RESULTS'!$T12,"0.00"),"not available")&amp;", Net Profit Margin "&amp;IF(ISNUMBER('RATIO RESULTS'!$J12),TEXT('RATIO RESULTS'!$J12,"0.00%"),"not available")&amp;", and Working Capital of "&amp;IF(ISNUMBER('RATIO RESULTS'!$AC12),"TTD "&amp;TEXT('RATIO RESULTS'!$AC12,"#,##0"),"not available")&amp;". The main flag noted is: "&amp;'RATIO RESULTS'!$AI12&amp;". This is a screening finding only and must be read with the approved prequalification criteria and the source documents.")</f>
        <v/>
      </c>
      <c r="G12" s="13" t="str">
        <f>IF('RATIO RESULTS'!$B12="","",IF('RATIO RESULTS'!$F12&lt;&gt;"Checked","Confirm source figures and financial year used.",IF('RATIO RESULTS'!$AI12="Negative equity — possible insolvency","Request clarification on negative equity, accumulated losses, and any restructuring or capital injection plans.",IF('RATIO RESULTS'!$AI12="Loss position","Request explanation for loss position and evidence of capacity to perform.",IF('RATIO RESULTS'!$AI12="Current liabilities exceed current assets","Seek clarification on short-term liquidity and ability to fund mobilisation.",IF('RATIO RESULTS'!$AI12="High leverage","Seek clarification on debt service and financing support.",IF('RATIO RESULTS'!$AI12="Slow receivables collection","Seek receivables ageing and collection status.",IF('RATIO RESULTS'!$AI12="Negative working capital","Seek clarification on working-capital support.",IF('RATIO RESULTS'!$AI12="Statement status limits weight on ratios","Request audited statements before relying on these ratios.","No automatic clarification from ratio screen. Verify against criteria.")))))))))</f>
        <v/>
      </c>
      <c r="H12" s="13" t="str">
        <f>IF('RATIO RESULTS'!$B12&lt;&gt;"","Chair to confirm source statement, year, line item, formula and approved criteria before use.","")</f>
        <v/>
      </c>
    </row>
    <row r="13" spans="1:8">
      <c r="A13" s="13" t="str">
        <f>IF('RATIO RESULTS'!$B13&lt;&gt;"",'RATIO RESULTS'!$A13,"")</f>
        <v/>
      </c>
      <c r="B13" s="13" t="str">
        <f>IF('RATIO RESULTS'!$B13&lt;&gt;"",'RATIO RESULTS'!$B13,"")</f>
        <v/>
      </c>
      <c r="C13" s="13" t="str">
        <f>IF('RATIO RESULTS'!$B13&lt;&gt;"",'RATIO RESULTS'!$D13,"")</f>
        <v/>
      </c>
      <c r="D13" s="13" t="str">
        <f>IF('RATIO RESULTS'!$B13&lt;&gt;"",'RATIO RESULTS'!$AH13,"")</f>
        <v/>
      </c>
      <c r="E13" s="13" t="str">
        <f>IF('RATIO RESULTS'!$B13&lt;&gt;"",'RATIO RESULTS'!$AI13,"")</f>
        <v/>
      </c>
      <c r="F13" s="13" t="str">
        <f>IF('RATIO RESULTS'!$B13="","","The Committee reviewed "&amp;'RATIO RESULTS'!$B13&amp;" for financial year "&amp;'RATIO RESULTS'!$D13&amp;" using the submitted financial statement figures entered in the workbook. On a first-pass screening basis, the bidder is assessed as "&amp;LOWER('RATIO RESULTS'!$AH13)&amp;". Key indicators include Current Ratio "&amp;IF(ISNUMBER('RATIO RESULTS'!$P13),TEXT('RATIO RESULTS'!$P13,"0.00"),"not available")&amp;", Debt-to-Equity "&amp;IF(ISNUMBER('RATIO RESULTS'!$T13),TEXT('RATIO RESULTS'!$T13,"0.00"),"not available")&amp;", Net Profit Margin "&amp;IF(ISNUMBER('RATIO RESULTS'!$J13),TEXT('RATIO RESULTS'!$J13,"0.00%"),"not available")&amp;", and Working Capital of "&amp;IF(ISNUMBER('RATIO RESULTS'!$AC13),"TTD "&amp;TEXT('RATIO RESULTS'!$AC13,"#,##0"),"not available")&amp;". The main flag noted is: "&amp;'RATIO RESULTS'!$AI13&amp;". This is a screening finding only and must be read with the approved prequalification criteria and the source documents.")</f>
        <v/>
      </c>
      <c r="G13" s="13" t="str">
        <f>IF('RATIO RESULTS'!$B13="","",IF('RATIO RESULTS'!$F13&lt;&gt;"Checked","Confirm source figures and financial year used.",IF('RATIO RESULTS'!$AI13="Negative equity — possible insolvency","Request clarification on negative equity, accumulated losses, and any restructuring or capital injection plans.",IF('RATIO RESULTS'!$AI13="Loss position","Request explanation for loss position and evidence of capacity to perform.",IF('RATIO RESULTS'!$AI13="Current liabilities exceed current assets","Seek clarification on short-term liquidity and ability to fund mobilisation.",IF('RATIO RESULTS'!$AI13="High leverage","Seek clarification on debt service and financing support.",IF('RATIO RESULTS'!$AI13="Slow receivables collection","Seek receivables ageing and collection status.",IF('RATIO RESULTS'!$AI13="Negative working capital","Seek clarification on working-capital support.",IF('RATIO RESULTS'!$AI13="Statement status limits weight on ratios","Request audited statements before relying on these ratios.","No automatic clarification from ratio screen. Verify against criteria.")))))))))</f>
        <v/>
      </c>
      <c r="H13" s="13" t="str">
        <f>IF('RATIO RESULTS'!$B13&lt;&gt;"","Chair to confirm source statement, year, line item, formula and approved criteria before use.","")</f>
        <v/>
      </c>
    </row>
    <row r="14" spans="1:8">
      <c r="A14" s="13" t="str">
        <f>IF('RATIO RESULTS'!$B14&lt;&gt;"",'RATIO RESULTS'!$A14,"")</f>
        <v/>
      </c>
      <c r="B14" s="13" t="str">
        <f>IF('RATIO RESULTS'!$B14&lt;&gt;"",'RATIO RESULTS'!$B14,"")</f>
        <v/>
      </c>
      <c r="C14" s="13" t="str">
        <f>IF('RATIO RESULTS'!$B14&lt;&gt;"",'RATIO RESULTS'!$D14,"")</f>
        <v/>
      </c>
      <c r="D14" s="13" t="str">
        <f>IF('RATIO RESULTS'!$B14&lt;&gt;"",'RATIO RESULTS'!$AH14,"")</f>
        <v/>
      </c>
      <c r="E14" s="13" t="str">
        <f>IF('RATIO RESULTS'!$B14&lt;&gt;"",'RATIO RESULTS'!$AI14,"")</f>
        <v/>
      </c>
      <c r="F14" s="13" t="str">
        <f>IF('RATIO RESULTS'!$B14="","","The Committee reviewed "&amp;'RATIO RESULTS'!$B14&amp;" for financial year "&amp;'RATIO RESULTS'!$D14&amp;" using the submitted financial statement figures entered in the workbook. On a first-pass screening basis, the bidder is assessed as "&amp;LOWER('RATIO RESULTS'!$AH14)&amp;". Key indicators include Current Ratio "&amp;IF(ISNUMBER('RATIO RESULTS'!$P14),TEXT('RATIO RESULTS'!$P14,"0.00"),"not available")&amp;", Debt-to-Equity "&amp;IF(ISNUMBER('RATIO RESULTS'!$T14),TEXT('RATIO RESULTS'!$T14,"0.00"),"not available")&amp;", Net Profit Margin "&amp;IF(ISNUMBER('RATIO RESULTS'!$J14),TEXT('RATIO RESULTS'!$J14,"0.00%"),"not available")&amp;", and Working Capital of "&amp;IF(ISNUMBER('RATIO RESULTS'!$AC14),"TTD "&amp;TEXT('RATIO RESULTS'!$AC14,"#,##0"),"not available")&amp;". The main flag noted is: "&amp;'RATIO RESULTS'!$AI14&amp;". This is a screening finding only and must be read with the approved prequalification criteria and the source documents.")</f>
        <v/>
      </c>
      <c r="G14" s="13" t="str">
        <f>IF('RATIO RESULTS'!$B14="","",IF('RATIO RESULTS'!$F14&lt;&gt;"Checked","Confirm source figures and financial year used.",IF('RATIO RESULTS'!$AI14="Negative equity — possible insolvency","Request clarification on negative equity, accumulated losses, and any restructuring or capital injection plans.",IF('RATIO RESULTS'!$AI14="Loss position","Request explanation for loss position and evidence of capacity to perform.",IF('RATIO RESULTS'!$AI14="Current liabilities exceed current assets","Seek clarification on short-term liquidity and ability to fund mobilisation.",IF('RATIO RESULTS'!$AI14="High leverage","Seek clarification on debt service and financing support.",IF('RATIO RESULTS'!$AI14="Slow receivables collection","Seek receivables ageing and collection status.",IF('RATIO RESULTS'!$AI14="Negative working capital","Seek clarification on working-capital support.",IF('RATIO RESULTS'!$AI14="Statement status limits weight on ratios","Request audited statements before relying on these ratios.","No automatic clarification from ratio screen. Verify against criteria.")))))))))</f>
        <v/>
      </c>
      <c r="H14" s="13" t="str">
        <f>IF('RATIO RESULTS'!$B14&lt;&gt;"","Chair to confirm source statement, year, line item, formula and approved criteria before use.","")</f>
        <v/>
      </c>
    </row>
    <row r="15" spans="1:8">
      <c r="A15" s="13" t="str">
        <f>IF('RATIO RESULTS'!$B15&lt;&gt;"",'RATIO RESULTS'!$A15,"")</f>
        <v/>
      </c>
      <c r="B15" s="13" t="str">
        <f>IF('RATIO RESULTS'!$B15&lt;&gt;"",'RATIO RESULTS'!$B15,"")</f>
        <v/>
      </c>
      <c r="C15" s="13" t="str">
        <f>IF('RATIO RESULTS'!$B15&lt;&gt;"",'RATIO RESULTS'!$D15,"")</f>
        <v/>
      </c>
      <c r="D15" s="13" t="str">
        <f>IF('RATIO RESULTS'!$B15&lt;&gt;"",'RATIO RESULTS'!$AH15,"")</f>
        <v/>
      </c>
      <c r="E15" s="13" t="str">
        <f>IF('RATIO RESULTS'!$B15&lt;&gt;"",'RATIO RESULTS'!$AI15,"")</f>
        <v/>
      </c>
      <c r="F15" s="13" t="str">
        <f>IF('RATIO RESULTS'!$B15="","","The Committee reviewed "&amp;'RATIO RESULTS'!$B15&amp;" for financial year "&amp;'RATIO RESULTS'!$D15&amp;" using the submitted financial statement figures entered in the workbook. On a first-pass screening basis, the bidder is assessed as "&amp;LOWER('RATIO RESULTS'!$AH15)&amp;". Key indicators include Current Ratio "&amp;IF(ISNUMBER('RATIO RESULTS'!$P15),TEXT('RATIO RESULTS'!$P15,"0.00"),"not available")&amp;", Debt-to-Equity "&amp;IF(ISNUMBER('RATIO RESULTS'!$T15),TEXT('RATIO RESULTS'!$T15,"0.00"),"not available")&amp;", Net Profit Margin "&amp;IF(ISNUMBER('RATIO RESULTS'!$J15),TEXT('RATIO RESULTS'!$J15,"0.00%"),"not available")&amp;", and Working Capital of "&amp;IF(ISNUMBER('RATIO RESULTS'!$AC15),"TTD "&amp;TEXT('RATIO RESULTS'!$AC15,"#,##0"),"not available")&amp;". The main flag noted is: "&amp;'RATIO RESULTS'!$AI15&amp;". This is a screening finding only and must be read with the approved prequalification criteria and the source documents.")</f>
        <v/>
      </c>
      <c r="G15" s="13" t="str">
        <f>IF('RATIO RESULTS'!$B15="","",IF('RATIO RESULTS'!$F15&lt;&gt;"Checked","Confirm source figures and financial year used.",IF('RATIO RESULTS'!$AI15="Negative equity — possible insolvency","Request clarification on negative equity, accumulated losses, and any restructuring or capital injection plans.",IF('RATIO RESULTS'!$AI15="Loss position","Request explanation for loss position and evidence of capacity to perform.",IF('RATIO RESULTS'!$AI15="Current liabilities exceed current assets","Seek clarification on short-term liquidity and ability to fund mobilisation.",IF('RATIO RESULTS'!$AI15="High leverage","Seek clarification on debt service and financing support.",IF('RATIO RESULTS'!$AI15="Slow receivables collection","Seek receivables ageing and collection status.",IF('RATIO RESULTS'!$AI15="Negative working capital","Seek clarification on working-capital support.",IF('RATIO RESULTS'!$AI15="Statement status limits weight on ratios","Request audited statements before relying on these ratios.","No automatic clarification from ratio screen. Verify against criteria.")))))))))</f>
        <v/>
      </c>
      <c r="H15" s="13" t="str">
        <f>IF('RATIO RESULTS'!$B15&lt;&gt;"","Chair to confirm source statement, year, line item, formula and approved criteria before use.","")</f>
        <v/>
      </c>
    </row>
    <row r="16" spans="1:8">
      <c r="A16" s="13" t="str">
        <f>IF('RATIO RESULTS'!$B16&lt;&gt;"",'RATIO RESULTS'!$A16,"")</f>
        <v/>
      </c>
      <c r="B16" s="13" t="str">
        <f>IF('RATIO RESULTS'!$B16&lt;&gt;"",'RATIO RESULTS'!$B16,"")</f>
        <v/>
      </c>
      <c r="C16" s="13" t="str">
        <f>IF('RATIO RESULTS'!$B16&lt;&gt;"",'RATIO RESULTS'!$D16,"")</f>
        <v/>
      </c>
      <c r="D16" s="13" t="str">
        <f>IF('RATIO RESULTS'!$B16&lt;&gt;"",'RATIO RESULTS'!$AH16,"")</f>
        <v/>
      </c>
      <c r="E16" s="13" t="str">
        <f>IF('RATIO RESULTS'!$B16&lt;&gt;"",'RATIO RESULTS'!$AI16,"")</f>
        <v/>
      </c>
      <c r="F16" s="13" t="str">
        <f>IF('RATIO RESULTS'!$B16="","","The Committee reviewed "&amp;'RATIO RESULTS'!$B16&amp;" for financial year "&amp;'RATIO RESULTS'!$D16&amp;" using the submitted financial statement figures entered in the workbook. On a first-pass screening basis, the bidder is assessed as "&amp;LOWER('RATIO RESULTS'!$AH16)&amp;". Key indicators include Current Ratio "&amp;IF(ISNUMBER('RATIO RESULTS'!$P16),TEXT('RATIO RESULTS'!$P16,"0.00"),"not available")&amp;", Debt-to-Equity "&amp;IF(ISNUMBER('RATIO RESULTS'!$T16),TEXT('RATIO RESULTS'!$T16,"0.00"),"not available")&amp;", Net Profit Margin "&amp;IF(ISNUMBER('RATIO RESULTS'!$J16),TEXT('RATIO RESULTS'!$J16,"0.00%"),"not available")&amp;", and Working Capital of "&amp;IF(ISNUMBER('RATIO RESULTS'!$AC16),"TTD "&amp;TEXT('RATIO RESULTS'!$AC16,"#,##0"),"not available")&amp;". The main flag noted is: "&amp;'RATIO RESULTS'!$AI16&amp;". This is a screening finding only and must be read with the approved prequalification criteria and the source documents.")</f>
        <v/>
      </c>
      <c r="G16" s="13" t="str">
        <f>IF('RATIO RESULTS'!$B16="","",IF('RATIO RESULTS'!$F16&lt;&gt;"Checked","Confirm source figures and financial year used.",IF('RATIO RESULTS'!$AI16="Negative equity — possible insolvency","Request clarification on negative equity, accumulated losses, and any restructuring or capital injection plans.",IF('RATIO RESULTS'!$AI16="Loss position","Request explanation for loss position and evidence of capacity to perform.",IF('RATIO RESULTS'!$AI16="Current liabilities exceed current assets","Seek clarification on short-term liquidity and ability to fund mobilisation.",IF('RATIO RESULTS'!$AI16="High leverage","Seek clarification on debt service and financing support.",IF('RATIO RESULTS'!$AI16="Slow receivables collection","Seek receivables ageing and collection status.",IF('RATIO RESULTS'!$AI16="Negative working capital","Seek clarification on working-capital support.",IF('RATIO RESULTS'!$AI16="Statement status limits weight on ratios","Request audited statements before relying on these ratios.","No automatic clarification from ratio screen. Verify against criteria.")))))))))</f>
        <v/>
      </c>
      <c r="H16" s="13" t="str">
        <f>IF('RATIO RESULTS'!$B16&lt;&gt;"","Chair to confirm source statement, year, line item, formula and approved criteria before use.","")</f>
        <v/>
      </c>
    </row>
    <row r="17" spans="1:8">
      <c r="A17" s="13" t="str">
        <f>IF('RATIO RESULTS'!$B17&lt;&gt;"",'RATIO RESULTS'!$A17,"")</f>
        <v/>
      </c>
      <c r="B17" s="13" t="str">
        <f>IF('RATIO RESULTS'!$B17&lt;&gt;"",'RATIO RESULTS'!$B17,"")</f>
        <v/>
      </c>
      <c r="C17" s="13" t="str">
        <f>IF('RATIO RESULTS'!$B17&lt;&gt;"",'RATIO RESULTS'!$D17,"")</f>
        <v/>
      </c>
      <c r="D17" s="13" t="str">
        <f>IF('RATIO RESULTS'!$B17&lt;&gt;"",'RATIO RESULTS'!$AH17,"")</f>
        <v/>
      </c>
      <c r="E17" s="13" t="str">
        <f>IF('RATIO RESULTS'!$B17&lt;&gt;"",'RATIO RESULTS'!$AI17,"")</f>
        <v/>
      </c>
      <c r="F17" s="13" t="str">
        <f>IF('RATIO RESULTS'!$B17="","","The Committee reviewed "&amp;'RATIO RESULTS'!$B17&amp;" for financial year "&amp;'RATIO RESULTS'!$D17&amp;" using the submitted financial statement figures entered in the workbook. On a first-pass screening basis, the bidder is assessed as "&amp;LOWER('RATIO RESULTS'!$AH17)&amp;". Key indicators include Current Ratio "&amp;IF(ISNUMBER('RATIO RESULTS'!$P17),TEXT('RATIO RESULTS'!$P17,"0.00"),"not available")&amp;", Debt-to-Equity "&amp;IF(ISNUMBER('RATIO RESULTS'!$T17),TEXT('RATIO RESULTS'!$T17,"0.00"),"not available")&amp;", Net Profit Margin "&amp;IF(ISNUMBER('RATIO RESULTS'!$J17),TEXT('RATIO RESULTS'!$J17,"0.00%"),"not available")&amp;", and Working Capital of "&amp;IF(ISNUMBER('RATIO RESULTS'!$AC17),"TTD "&amp;TEXT('RATIO RESULTS'!$AC17,"#,##0"),"not available")&amp;". The main flag noted is: "&amp;'RATIO RESULTS'!$AI17&amp;". This is a screening finding only and must be read with the approved prequalification criteria and the source documents.")</f>
        <v/>
      </c>
      <c r="G17" s="13" t="str">
        <f>IF('RATIO RESULTS'!$B17="","",IF('RATIO RESULTS'!$F17&lt;&gt;"Checked","Confirm source figures and financial year used.",IF('RATIO RESULTS'!$AI17="Negative equity — possible insolvency","Request clarification on negative equity, accumulated losses, and any restructuring or capital injection plans.",IF('RATIO RESULTS'!$AI17="Loss position","Request explanation for loss position and evidence of capacity to perform.",IF('RATIO RESULTS'!$AI17="Current liabilities exceed current assets","Seek clarification on short-term liquidity and ability to fund mobilisation.",IF('RATIO RESULTS'!$AI17="High leverage","Seek clarification on debt service and financing support.",IF('RATIO RESULTS'!$AI17="Slow receivables collection","Seek receivables ageing and collection status.",IF('RATIO RESULTS'!$AI17="Negative working capital","Seek clarification on working-capital support.",IF('RATIO RESULTS'!$AI17="Statement status limits weight on ratios","Request audited statements before relying on these ratios.","No automatic clarification from ratio screen. Verify against criteria.")))))))))</f>
        <v/>
      </c>
      <c r="H17" s="13" t="str">
        <f>IF('RATIO RESULTS'!$B17&lt;&gt;"","Chair to confirm source statement, year, line item, formula and approved criteria before use.","")</f>
        <v/>
      </c>
    </row>
    <row r="18" spans="1:8">
      <c r="A18" s="13" t="str">
        <f>IF('RATIO RESULTS'!$B18&lt;&gt;"",'RATIO RESULTS'!$A18,"")</f>
        <v/>
      </c>
      <c r="B18" s="13" t="str">
        <f>IF('RATIO RESULTS'!$B18&lt;&gt;"",'RATIO RESULTS'!$B18,"")</f>
        <v/>
      </c>
      <c r="C18" s="13" t="str">
        <f>IF('RATIO RESULTS'!$B18&lt;&gt;"",'RATIO RESULTS'!$D18,"")</f>
        <v/>
      </c>
      <c r="D18" s="13" t="str">
        <f>IF('RATIO RESULTS'!$B18&lt;&gt;"",'RATIO RESULTS'!$AH18,"")</f>
        <v/>
      </c>
      <c r="E18" s="13" t="str">
        <f>IF('RATIO RESULTS'!$B18&lt;&gt;"",'RATIO RESULTS'!$AI18,"")</f>
        <v/>
      </c>
      <c r="F18" s="13" t="str">
        <f>IF('RATIO RESULTS'!$B18="","","The Committee reviewed "&amp;'RATIO RESULTS'!$B18&amp;" for financial year "&amp;'RATIO RESULTS'!$D18&amp;" using the submitted financial statement figures entered in the workbook. On a first-pass screening basis, the bidder is assessed as "&amp;LOWER('RATIO RESULTS'!$AH18)&amp;". Key indicators include Current Ratio "&amp;IF(ISNUMBER('RATIO RESULTS'!$P18),TEXT('RATIO RESULTS'!$P18,"0.00"),"not available")&amp;", Debt-to-Equity "&amp;IF(ISNUMBER('RATIO RESULTS'!$T18),TEXT('RATIO RESULTS'!$T18,"0.00"),"not available")&amp;", Net Profit Margin "&amp;IF(ISNUMBER('RATIO RESULTS'!$J18),TEXT('RATIO RESULTS'!$J18,"0.00%"),"not available")&amp;", and Working Capital of "&amp;IF(ISNUMBER('RATIO RESULTS'!$AC18),"TTD "&amp;TEXT('RATIO RESULTS'!$AC18,"#,##0"),"not available")&amp;". The main flag noted is: "&amp;'RATIO RESULTS'!$AI18&amp;". This is a screening finding only and must be read with the approved prequalification criteria and the source documents.")</f>
        <v/>
      </c>
      <c r="G18" s="13" t="str">
        <f>IF('RATIO RESULTS'!$B18="","",IF('RATIO RESULTS'!$F18&lt;&gt;"Checked","Confirm source figures and financial year used.",IF('RATIO RESULTS'!$AI18="Negative equity — possible insolvency","Request clarification on negative equity, accumulated losses, and any restructuring or capital injection plans.",IF('RATIO RESULTS'!$AI18="Loss position","Request explanation for loss position and evidence of capacity to perform.",IF('RATIO RESULTS'!$AI18="Current liabilities exceed current assets","Seek clarification on short-term liquidity and ability to fund mobilisation.",IF('RATIO RESULTS'!$AI18="High leverage","Seek clarification on debt service and financing support.",IF('RATIO RESULTS'!$AI18="Slow receivables collection","Seek receivables ageing and collection status.",IF('RATIO RESULTS'!$AI18="Negative working capital","Seek clarification on working-capital support.",IF('RATIO RESULTS'!$AI18="Statement status limits weight on ratios","Request audited statements before relying on these ratios.","No automatic clarification from ratio screen. Verify against criteria.")))))))))</f>
        <v/>
      </c>
      <c r="H18" s="13" t="str">
        <f>IF('RATIO RESULTS'!$B18&lt;&gt;"","Chair to confirm source statement, year, line item, formula and approved criteria before use.","")</f>
        <v/>
      </c>
    </row>
    <row r="19" spans="1:8">
      <c r="A19" s="13" t="str">
        <f>IF('RATIO RESULTS'!$B19&lt;&gt;"",'RATIO RESULTS'!$A19,"")</f>
        <v/>
      </c>
      <c r="B19" s="13" t="str">
        <f>IF('RATIO RESULTS'!$B19&lt;&gt;"",'RATIO RESULTS'!$B19,"")</f>
        <v/>
      </c>
      <c r="C19" s="13" t="str">
        <f>IF('RATIO RESULTS'!$B19&lt;&gt;"",'RATIO RESULTS'!$D19,"")</f>
        <v/>
      </c>
      <c r="D19" s="13" t="str">
        <f>IF('RATIO RESULTS'!$B19&lt;&gt;"",'RATIO RESULTS'!$AH19,"")</f>
        <v/>
      </c>
      <c r="E19" s="13" t="str">
        <f>IF('RATIO RESULTS'!$B19&lt;&gt;"",'RATIO RESULTS'!$AI19,"")</f>
        <v/>
      </c>
      <c r="F19" s="13" t="str">
        <f>IF('RATIO RESULTS'!$B19="","","The Committee reviewed "&amp;'RATIO RESULTS'!$B19&amp;" for financial year "&amp;'RATIO RESULTS'!$D19&amp;" using the submitted financial statement figures entered in the workbook. On a first-pass screening basis, the bidder is assessed as "&amp;LOWER('RATIO RESULTS'!$AH19)&amp;". Key indicators include Current Ratio "&amp;IF(ISNUMBER('RATIO RESULTS'!$P19),TEXT('RATIO RESULTS'!$P19,"0.00"),"not available")&amp;", Debt-to-Equity "&amp;IF(ISNUMBER('RATIO RESULTS'!$T19),TEXT('RATIO RESULTS'!$T19,"0.00"),"not available")&amp;", Net Profit Margin "&amp;IF(ISNUMBER('RATIO RESULTS'!$J19),TEXT('RATIO RESULTS'!$J19,"0.00%"),"not available")&amp;", and Working Capital of "&amp;IF(ISNUMBER('RATIO RESULTS'!$AC19),"TTD "&amp;TEXT('RATIO RESULTS'!$AC19,"#,##0"),"not available")&amp;". The main flag noted is: "&amp;'RATIO RESULTS'!$AI19&amp;". This is a screening finding only and must be read with the approved prequalification criteria and the source documents.")</f>
        <v/>
      </c>
      <c r="G19" s="13" t="str">
        <f>IF('RATIO RESULTS'!$B19="","",IF('RATIO RESULTS'!$F19&lt;&gt;"Checked","Confirm source figures and financial year used.",IF('RATIO RESULTS'!$AI19="Negative equity — possible insolvency","Request clarification on negative equity, accumulated losses, and any restructuring or capital injection plans.",IF('RATIO RESULTS'!$AI19="Loss position","Request explanation for loss position and evidence of capacity to perform.",IF('RATIO RESULTS'!$AI19="Current liabilities exceed current assets","Seek clarification on short-term liquidity and ability to fund mobilisation.",IF('RATIO RESULTS'!$AI19="High leverage","Seek clarification on debt service and financing support.",IF('RATIO RESULTS'!$AI19="Slow receivables collection","Seek receivables ageing and collection status.",IF('RATIO RESULTS'!$AI19="Negative working capital","Seek clarification on working-capital support.",IF('RATIO RESULTS'!$AI19="Statement status limits weight on ratios","Request audited statements before relying on these ratios.","No automatic clarification from ratio screen. Verify against criteria.")))))))))</f>
        <v/>
      </c>
      <c r="H19" s="13" t="str">
        <f>IF('RATIO RESULTS'!$B19&lt;&gt;"","Chair to confirm source statement, year, line item, formula and approved criteria before use.","")</f>
        <v/>
      </c>
    </row>
    <row r="20" spans="1:8">
      <c r="A20" s="13" t="str">
        <f>IF('RATIO RESULTS'!$B20&lt;&gt;"",'RATIO RESULTS'!$A20,"")</f>
        <v/>
      </c>
      <c r="B20" s="13" t="str">
        <f>IF('RATIO RESULTS'!$B20&lt;&gt;"",'RATIO RESULTS'!$B20,"")</f>
        <v/>
      </c>
      <c r="C20" s="13" t="str">
        <f>IF('RATIO RESULTS'!$B20&lt;&gt;"",'RATIO RESULTS'!$D20,"")</f>
        <v/>
      </c>
      <c r="D20" s="13" t="str">
        <f>IF('RATIO RESULTS'!$B20&lt;&gt;"",'RATIO RESULTS'!$AH20,"")</f>
        <v/>
      </c>
      <c r="E20" s="13" t="str">
        <f>IF('RATIO RESULTS'!$B20&lt;&gt;"",'RATIO RESULTS'!$AI20,"")</f>
        <v/>
      </c>
      <c r="F20" s="13" t="str">
        <f>IF('RATIO RESULTS'!$B20="","","The Committee reviewed "&amp;'RATIO RESULTS'!$B20&amp;" for financial year "&amp;'RATIO RESULTS'!$D20&amp;" using the submitted financial statement figures entered in the workbook. On a first-pass screening basis, the bidder is assessed as "&amp;LOWER('RATIO RESULTS'!$AH20)&amp;". Key indicators include Current Ratio "&amp;IF(ISNUMBER('RATIO RESULTS'!$P20),TEXT('RATIO RESULTS'!$P20,"0.00"),"not available")&amp;", Debt-to-Equity "&amp;IF(ISNUMBER('RATIO RESULTS'!$T20),TEXT('RATIO RESULTS'!$T20,"0.00"),"not available")&amp;", Net Profit Margin "&amp;IF(ISNUMBER('RATIO RESULTS'!$J20),TEXT('RATIO RESULTS'!$J20,"0.00%"),"not available")&amp;", and Working Capital of "&amp;IF(ISNUMBER('RATIO RESULTS'!$AC20),"TTD "&amp;TEXT('RATIO RESULTS'!$AC20,"#,##0"),"not available")&amp;". The main flag noted is: "&amp;'RATIO RESULTS'!$AI20&amp;". This is a screening finding only and must be read with the approved prequalification criteria and the source documents.")</f>
        <v/>
      </c>
      <c r="G20" s="13" t="str">
        <f>IF('RATIO RESULTS'!$B20="","",IF('RATIO RESULTS'!$F20&lt;&gt;"Checked","Confirm source figures and financial year used.",IF('RATIO RESULTS'!$AI20="Negative equity — possible insolvency","Request clarification on negative equity, accumulated losses, and any restructuring or capital injection plans.",IF('RATIO RESULTS'!$AI20="Loss position","Request explanation for loss position and evidence of capacity to perform.",IF('RATIO RESULTS'!$AI20="Current liabilities exceed current assets","Seek clarification on short-term liquidity and ability to fund mobilisation.",IF('RATIO RESULTS'!$AI20="High leverage","Seek clarification on debt service and financing support.",IF('RATIO RESULTS'!$AI20="Slow receivables collection","Seek receivables ageing and collection status.",IF('RATIO RESULTS'!$AI20="Negative working capital","Seek clarification on working-capital support.",IF('RATIO RESULTS'!$AI20="Statement status limits weight on ratios","Request audited statements before relying on these ratios.","No automatic clarification from ratio screen. Verify against criteria.")))))))))</f>
        <v/>
      </c>
      <c r="H20" s="13" t="str">
        <f>IF('RATIO RESULTS'!$B20&lt;&gt;"","Chair to confirm source statement, year, line item, formula and approved criteria before use.","")</f>
        <v/>
      </c>
    </row>
    <row r="21" spans="1:8">
      <c r="A21" s="13" t="str">
        <f>IF('RATIO RESULTS'!$B21&lt;&gt;"",'RATIO RESULTS'!$A21,"")</f>
        <v/>
      </c>
      <c r="B21" s="13" t="str">
        <f>IF('RATIO RESULTS'!$B21&lt;&gt;"",'RATIO RESULTS'!$B21,"")</f>
        <v/>
      </c>
      <c r="C21" s="13" t="str">
        <f>IF('RATIO RESULTS'!$B21&lt;&gt;"",'RATIO RESULTS'!$D21,"")</f>
        <v/>
      </c>
      <c r="D21" s="13" t="str">
        <f>IF('RATIO RESULTS'!$B21&lt;&gt;"",'RATIO RESULTS'!$AH21,"")</f>
        <v/>
      </c>
      <c r="E21" s="13" t="str">
        <f>IF('RATIO RESULTS'!$B21&lt;&gt;"",'RATIO RESULTS'!$AI21,"")</f>
        <v/>
      </c>
      <c r="F21" s="13" t="str">
        <f>IF('RATIO RESULTS'!$B21="","","The Committee reviewed "&amp;'RATIO RESULTS'!$B21&amp;" for financial year "&amp;'RATIO RESULTS'!$D21&amp;" using the submitted financial statement figures entered in the workbook. On a first-pass screening basis, the bidder is assessed as "&amp;LOWER('RATIO RESULTS'!$AH21)&amp;". Key indicators include Current Ratio "&amp;IF(ISNUMBER('RATIO RESULTS'!$P21),TEXT('RATIO RESULTS'!$P21,"0.00"),"not available")&amp;", Debt-to-Equity "&amp;IF(ISNUMBER('RATIO RESULTS'!$T21),TEXT('RATIO RESULTS'!$T21,"0.00"),"not available")&amp;", Net Profit Margin "&amp;IF(ISNUMBER('RATIO RESULTS'!$J21),TEXT('RATIO RESULTS'!$J21,"0.00%"),"not available")&amp;", and Working Capital of "&amp;IF(ISNUMBER('RATIO RESULTS'!$AC21),"TTD "&amp;TEXT('RATIO RESULTS'!$AC21,"#,##0"),"not available")&amp;". The main flag noted is: "&amp;'RATIO RESULTS'!$AI21&amp;". This is a screening finding only and must be read with the approved prequalification criteria and the source documents.")</f>
        <v/>
      </c>
      <c r="G21" s="13" t="str">
        <f>IF('RATIO RESULTS'!$B21="","",IF('RATIO RESULTS'!$F21&lt;&gt;"Checked","Confirm source figures and financial year used.",IF('RATIO RESULTS'!$AI21="Negative equity — possible insolvency","Request clarification on negative equity, accumulated losses, and any restructuring or capital injection plans.",IF('RATIO RESULTS'!$AI21="Loss position","Request explanation for loss position and evidence of capacity to perform.",IF('RATIO RESULTS'!$AI21="Current liabilities exceed current assets","Seek clarification on short-term liquidity and ability to fund mobilisation.",IF('RATIO RESULTS'!$AI21="High leverage","Seek clarification on debt service and financing support.",IF('RATIO RESULTS'!$AI21="Slow receivables collection","Seek receivables ageing and collection status.",IF('RATIO RESULTS'!$AI21="Negative working capital","Seek clarification on working-capital support.",IF('RATIO RESULTS'!$AI21="Statement status limits weight on ratios","Request audited statements before relying on these ratios.","No automatic clarification from ratio screen. Verify against criteria.")))))))))</f>
        <v/>
      </c>
      <c r="H21" s="13" t="str">
        <f>IF('RATIO RESULTS'!$B21&lt;&gt;"","Chair to confirm source statement, year, line item, formula and approved criteria before use.","")</f>
        <v/>
      </c>
    </row>
    <row r="22" spans="1:8">
      <c r="A22" s="13" t="str">
        <f>IF('RATIO RESULTS'!$B22&lt;&gt;"",'RATIO RESULTS'!$A22,"")</f>
        <v/>
      </c>
      <c r="B22" s="13" t="str">
        <f>IF('RATIO RESULTS'!$B22&lt;&gt;"",'RATIO RESULTS'!$B22,"")</f>
        <v/>
      </c>
      <c r="C22" s="13" t="str">
        <f>IF('RATIO RESULTS'!$B22&lt;&gt;"",'RATIO RESULTS'!$D22,"")</f>
        <v/>
      </c>
      <c r="D22" s="13" t="str">
        <f>IF('RATIO RESULTS'!$B22&lt;&gt;"",'RATIO RESULTS'!$AH22,"")</f>
        <v/>
      </c>
      <c r="E22" s="13" t="str">
        <f>IF('RATIO RESULTS'!$B22&lt;&gt;"",'RATIO RESULTS'!$AI22,"")</f>
        <v/>
      </c>
      <c r="F22" s="13" t="str">
        <f>IF('RATIO RESULTS'!$B22="","","The Committee reviewed "&amp;'RATIO RESULTS'!$B22&amp;" for financial year "&amp;'RATIO RESULTS'!$D22&amp;" using the submitted financial statement figures entered in the workbook. On a first-pass screening basis, the bidder is assessed as "&amp;LOWER('RATIO RESULTS'!$AH22)&amp;". Key indicators include Current Ratio "&amp;IF(ISNUMBER('RATIO RESULTS'!$P22),TEXT('RATIO RESULTS'!$P22,"0.00"),"not available")&amp;", Debt-to-Equity "&amp;IF(ISNUMBER('RATIO RESULTS'!$T22),TEXT('RATIO RESULTS'!$T22,"0.00"),"not available")&amp;", Net Profit Margin "&amp;IF(ISNUMBER('RATIO RESULTS'!$J22),TEXT('RATIO RESULTS'!$J22,"0.00%"),"not available")&amp;", and Working Capital of "&amp;IF(ISNUMBER('RATIO RESULTS'!$AC22),"TTD "&amp;TEXT('RATIO RESULTS'!$AC22,"#,##0"),"not available")&amp;". The main flag noted is: "&amp;'RATIO RESULTS'!$AI22&amp;". This is a screening finding only and must be read with the approved prequalification criteria and the source documents.")</f>
        <v/>
      </c>
      <c r="G22" s="13" t="str">
        <f>IF('RATIO RESULTS'!$B22="","",IF('RATIO RESULTS'!$F22&lt;&gt;"Checked","Confirm source figures and financial year used.",IF('RATIO RESULTS'!$AI22="Negative equity — possible insolvency","Request clarification on negative equity, accumulated losses, and any restructuring or capital injection plans.",IF('RATIO RESULTS'!$AI22="Loss position","Request explanation for loss position and evidence of capacity to perform.",IF('RATIO RESULTS'!$AI22="Current liabilities exceed current assets","Seek clarification on short-term liquidity and ability to fund mobilisation.",IF('RATIO RESULTS'!$AI22="High leverage","Seek clarification on debt service and financing support.",IF('RATIO RESULTS'!$AI22="Slow receivables collection","Seek receivables ageing and collection status.",IF('RATIO RESULTS'!$AI22="Negative working capital","Seek clarification on working-capital support.",IF('RATIO RESULTS'!$AI22="Statement status limits weight on ratios","Request audited statements before relying on these ratios.","No automatic clarification from ratio screen. Verify against criteria.")))))))))</f>
        <v/>
      </c>
      <c r="H22" s="13" t="str">
        <f>IF('RATIO RESULTS'!$B22&lt;&gt;"","Chair to confirm source statement, year, line item, formula and approved criteria before use.","")</f>
        <v/>
      </c>
    </row>
    <row r="23" spans="1:8">
      <c r="A23" s="13" t="str">
        <f>IF('RATIO RESULTS'!$B23&lt;&gt;"",'RATIO RESULTS'!$A23,"")</f>
        <v/>
      </c>
      <c r="B23" s="13" t="str">
        <f>IF('RATIO RESULTS'!$B23&lt;&gt;"",'RATIO RESULTS'!$B23,"")</f>
        <v/>
      </c>
      <c r="C23" s="13" t="str">
        <f>IF('RATIO RESULTS'!$B23&lt;&gt;"",'RATIO RESULTS'!$D23,"")</f>
        <v/>
      </c>
      <c r="D23" s="13" t="str">
        <f>IF('RATIO RESULTS'!$B23&lt;&gt;"",'RATIO RESULTS'!$AH23,"")</f>
        <v/>
      </c>
      <c r="E23" s="13" t="str">
        <f>IF('RATIO RESULTS'!$B23&lt;&gt;"",'RATIO RESULTS'!$AI23,"")</f>
        <v/>
      </c>
      <c r="F23" s="13" t="str">
        <f>IF('RATIO RESULTS'!$B23="","","The Committee reviewed "&amp;'RATIO RESULTS'!$B23&amp;" for financial year "&amp;'RATIO RESULTS'!$D23&amp;" using the submitted financial statement figures entered in the workbook. On a first-pass screening basis, the bidder is assessed as "&amp;LOWER('RATIO RESULTS'!$AH23)&amp;". Key indicators include Current Ratio "&amp;IF(ISNUMBER('RATIO RESULTS'!$P23),TEXT('RATIO RESULTS'!$P23,"0.00"),"not available")&amp;", Debt-to-Equity "&amp;IF(ISNUMBER('RATIO RESULTS'!$T23),TEXT('RATIO RESULTS'!$T23,"0.00"),"not available")&amp;", Net Profit Margin "&amp;IF(ISNUMBER('RATIO RESULTS'!$J23),TEXT('RATIO RESULTS'!$J23,"0.00%"),"not available")&amp;", and Working Capital of "&amp;IF(ISNUMBER('RATIO RESULTS'!$AC23),"TTD "&amp;TEXT('RATIO RESULTS'!$AC23,"#,##0"),"not available")&amp;". The main flag noted is: "&amp;'RATIO RESULTS'!$AI23&amp;". This is a screening finding only and must be read with the approved prequalification criteria and the source documents.")</f>
        <v/>
      </c>
      <c r="G23" s="13" t="str">
        <f>IF('RATIO RESULTS'!$B23="","",IF('RATIO RESULTS'!$F23&lt;&gt;"Checked","Confirm source figures and financial year used.",IF('RATIO RESULTS'!$AI23="Negative equity — possible insolvency","Request clarification on negative equity, accumulated losses, and any restructuring or capital injection plans.",IF('RATIO RESULTS'!$AI23="Loss position","Request explanation for loss position and evidence of capacity to perform.",IF('RATIO RESULTS'!$AI23="Current liabilities exceed current assets","Seek clarification on short-term liquidity and ability to fund mobilisation.",IF('RATIO RESULTS'!$AI23="High leverage","Seek clarification on debt service and financing support.",IF('RATIO RESULTS'!$AI23="Slow receivables collection","Seek receivables ageing and collection status.",IF('RATIO RESULTS'!$AI23="Negative working capital","Seek clarification on working-capital support.",IF('RATIO RESULTS'!$AI23="Statement status limits weight on ratios","Request audited statements before relying on these ratios.","No automatic clarification from ratio screen. Verify against criteria.")))))))))</f>
        <v/>
      </c>
      <c r="H23" s="13" t="str">
        <f>IF('RATIO RESULTS'!$B23&lt;&gt;"","Chair to confirm source statement, year, line item, formula and approved criteria before use.","")</f>
        <v/>
      </c>
    </row>
    <row r="24" spans="1:8">
      <c r="A24" s="13" t="str">
        <f>IF('RATIO RESULTS'!$B24&lt;&gt;"",'RATIO RESULTS'!$A24,"")</f>
        <v/>
      </c>
      <c r="B24" s="13" t="str">
        <f>IF('RATIO RESULTS'!$B24&lt;&gt;"",'RATIO RESULTS'!$B24,"")</f>
        <v/>
      </c>
      <c r="C24" s="13" t="str">
        <f>IF('RATIO RESULTS'!$B24&lt;&gt;"",'RATIO RESULTS'!$D24,"")</f>
        <v/>
      </c>
      <c r="D24" s="13" t="str">
        <f>IF('RATIO RESULTS'!$B24&lt;&gt;"",'RATIO RESULTS'!$AH24,"")</f>
        <v/>
      </c>
      <c r="E24" s="13" t="str">
        <f>IF('RATIO RESULTS'!$B24&lt;&gt;"",'RATIO RESULTS'!$AI24,"")</f>
        <v/>
      </c>
      <c r="F24" s="13" t="str">
        <f>IF('RATIO RESULTS'!$B24="","","The Committee reviewed "&amp;'RATIO RESULTS'!$B24&amp;" for financial year "&amp;'RATIO RESULTS'!$D24&amp;" using the submitted financial statement figures entered in the workbook. On a first-pass screening basis, the bidder is assessed as "&amp;LOWER('RATIO RESULTS'!$AH24)&amp;". Key indicators include Current Ratio "&amp;IF(ISNUMBER('RATIO RESULTS'!$P24),TEXT('RATIO RESULTS'!$P24,"0.00"),"not available")&amp;", Debt-to-Equity "&amp;IF(ISNUMBER('RATIO RESULTS'!$T24),TEXT('RATIO RESULTS'!$T24,"0.00"),"not available")&amp;", Net Profit Margin "&amp;IF(ISNUMBER('RATIO RESULTS'!$J24),TEXT('RATIO RESULTS'!$J24,"0.00%"),"not available")&amp;", and Working Capital of "&amp;IF(ISNUMBER('RATIO RESULTS'!$AC24),"TTD "&amp;TEXT('RATIO RESULTS'!$AC24,"#,##0"),"not available")&amp;". The main flag noted is: "&amp;'RATIO RESULTS'!$AI24&amp;". This is a screening finding only and must be read with the approved prequalification criteria and the source documents.")</f>
        <v/>
      </c>
      <c r="G24" s="13" t="str">
        <f>IF('RATIO RESULTS'!$B24="","",IF('RATIO RESULTS'!$F24&lt;&gt;"Checked","Confirm source figures and financial year used.",IF('RATIO RESULTS'!$AI24="Negative equity — possible insolvency","Request clarification on negative equity, accumulated losses, and any restructuring or capital injection plans.",IF('RATIO RESULTS'!$AI24="Loss position","Request explanation for loss position and evidence of capacity to perform.",IF('RATIO RESULTS'!$AI24="Current liabilities exceed current assets","Seek clarification on short-term liquidity and ability to fund mobilisation.",IF('RATIO RESULTS'!$AI24="High leverage","Seek clarification on debt service and financing support.",IF('RATIO RESULTS'!$AI24="Slow receivables collection","Seek receivables ageing and collection status.",IF('RATIO RESULTS'!$AI24="Negative working capital","Seek clarification on working-capital support.",IF('RATIO RESULTS'!$AI24="Statement status limits weight on ratios","Request audited statements before relying on these ratios.","No automatic clarification from ratio screen. Verify against criteria.")))))))))</f>
        <v/>
      </c>
      <c r="H24" s="13" t="str">
        <f>IF('RATIO RESULTS'!$B24&lt;&gt;"","Chair to confirm source statement, year, line item, formula and approved criteria before use.","")</f>
        <v/>
      </c>
    </row>
    <row r="25" spans="1:8">
      <c r="A25" s="13" t="str">
        <f>IF('RATIO RESULTS'!$B25&lt;&gt;"",'RATIO RESULTS'!$A25,"")</f>
        <v/>
      </c>
      <c r="B25" s="13" t="str">
        <f>IF('RATIO RESULTS'!$B25&lt;&gt;"",'RATIO RESULTS'!$B25,"")</f>
        <v/>
      </c>
      <c r="C25" s="13" t="str">
        <f>IF('RATIO RESULTS'!$B25&lt;&gt;"",'RATIO RESULTS'!$D25,"")</f>
        <v/>
      </c>
      <c r="D25" s="13" t="str">
        <f>IF('RATIO RESULTS'!$B25&lt;&gt;"",'RATIO RESULTS'!$AH25,"")</f>
        <v/>
      </c>
      <c r="E25" s="13" t="str">
        <f>IF('RATIO RESULTS'!$B25&lt;&gt;"",'RATIO RESULTS'!$AI25,"")</f>
        <v/>
      </c>
      <c r="F25" s="13" t="str">
        <f>IF('RATIO RESULTS'!$B25="","","The Committee reviewed "&amp;'RATIO RESULTS'!$B25&amp;" for financial year "&amp;'RATIO RESULTS'!$D25&amp;" using the submitted financial statement figures entered in the workbook. On a first-pass screening basis, the bidder is assessed as "&amp;LOWER('RATIO RESULTS'!$AH25)&amp;". Key indicators include Current Ratio "&amp;IF(ISNUMBER('RATIO RESULTS'!$P25),TEXT('RATIO RESULTS'!$P25,"0.00"),"not available")&amp;", Debt-to-Equity "&amp;IF(ISNUMBER('RATIO RESULTS'!$T25),TEXT('RATIO RESULTS'!$T25,"0.00"),"not available")&amp;", Net Profit Margin "&amp;IF(ISNUMBER('RATIO RESULTS'!$J25),TEXT('RATIO RESULTS'!$J25,"0.00%"),"not available")&amp;", and Working Capital of "&amp;IF(ISNUMBER('RATIO RESULTS'!$AC25),"TTD "&amp;TEXT('RATIO RESULTS'!$AC25,"#,##0"),"not available")&amp;". The main flag noted is: "&amp;'RATIO RESULTS'!$AI25&amp;". This is a screening finding only and must be read with the approved prequalification criteria and the source documents.")</f>
        <v/>
      </c>
      <c r="G25" s="13" t="str">
        <f>IF('RATIO RESULTS'!$B25="","",IF('RATIO RESULTS'!$F25&lt;&gt;"Checked","Confirm source figures and financial year used.",IF('RATIO RESULTS'!$AI25="Negative equity — possible insolvency","Request clarification on negative equity, accumulated losses, and any restructuring or capital injection plans.",IF('RATIO RESULTS'!$AI25="Loss position","Request explanation for loss position and evidence of capacity to perform.",IF('RATIO RESULTS'!$AI25="Current liabilities exceed current assets","Seek clarification on short-term liquidity and ability to fund mobilisation.",IF('RATIO RESULTS'!$AI25="High leverage","Seek clarification on debt service and financing support.",IF('RATIO RESULTS'!$AI25="Slow receivables collection","Seek receivables ageing and collection status.",IF('RATIO RESULTS'!$AI25="Negative working capital","Seek clarification on working-capital support.",IF('RATIO RESULTS'!$AI25="Statement status limits weight on ratios","Request audited statements before relying on these ratios.","No automatic clarification from ratio screen. Verify against criteria.")))))))))</f>
        <v/>
      </c>
      <c r="H25" s="13" t="str">
        <f>IF('RATIO RESULTS'!$B25&lt;&gt;"","Chair to confirm source statement, year, line item, formula and approved criteria before use.","")</f>
        <v/>
      </c>
    </row>
    <row r="26" spans="1:8">
      <c r="A26" s="13" t="str">
        <f>IF('RATIO RESULTS'!$B26&lt;&gt;"",'RATIO RESULTS'!$A26,"")</f>
        <v/>
      </c>
      <c r="B26" s="13" t="str">
        <f>IF('RATIO RESULTS'!$B26&lt;&gt;"",'RATIO RESULTS'!$B26,"")</f>
        <v/>
      </c>
      <c r="C26" s="13" t="str">
        <f>IF('RATIO RESULTS'!$B26&lt;&gt;"",'RATIO RESULTS'!$D26,"")</f>
        <v/>
      </c>
      <c r="D26" s="13" t="str">
        <f>IF('RATIO RESULTS'!$B26&lt;&gt;"",'RATIO RESULTS'!$AH26,"")</f>
        <v/>
      </c>
      <c r="E26" s="13" t="str">
        <f>IF('RATIO RESULTS'!$B26&lt;&gt;"",'RATIO RESULTS'!$AI26,"")</f>
        <v/>
      </c>
      <c r="F26" s="13" t="str">
        <f>IF('RATIO RESULTS'!$B26="","","The Committee reviewed "&amp;'RATIO RESULTS'!$B26&amp;" for financial year "&amp;'RATIO RESULTS'!$D26&amp;" using the submitted financial statement figures entered in the workbook. On a first-pass screening basis, the bidder is assessed as "&amp;LOWER('RATIO RESULTS'!$AH26)&amp;". Key indicators include Current Ratio "&amp;IF(ISNUMBER('RATIO RESULTS'!$P26),TEXT('RATIO RESULTS'!$P26,"0.00"),"not available")&amp;", Debt-to-Equity "&amp;IF(ISNUMBER('RATIO RESULTS'!$T26),TEXT('RATIO RESULTS'!$T26,"0.00"),"not available")&amp;", Net Profit Margin "&amp;IF(ISNUMBER('RATIO RESULTS'!$J26),TEXT('RATIO RESULTS'!$J26,"0.00%"),"not available")&amp;", and Working Capital of "&amp;IF(ISNUMBER('RATIO RESULTS'!$AC26),"TTD "&amp;TEXT('RATIO RESULTS'!$AC26,"#,##0"),"not available")&amp;". The main flag noted is: "&amp;'RATIO RESULTS'!$AI26&amp;". This is a screening finding only and must be read with the approved prequalification criteria and the source documents.")</f>
        <v/>
      </c>
      <c r="G26" s="13" t="str">
        <f>IF('RATIO RESULTS'!$B26="","",IF('RATIO RESULTS'!$F26&lt;&gt;"Checked","Confirm source figures and financial year used.",IF('RATIO RESULTS'!$AI26="Negative equity — possible insolvency","Request clarification on negative equity, accumulated losses, and any restructuring or capital injection plans.",IF('RATIO RESULTS'!$AI26="Loss position","Request explanation for loss position and evidence of capacity to perform.",IF('RATIO RESULTS'!$AI26="Current liabilities exceed current assets","Seek clarification on short-term liquidity and ability to fund mobilisation.",IF('RATIO RESULTS'!$AI26="High leverage","Seek clarification on debt service and financing support.",IF('RATIO RESULTS'!$AI26="Slow receivables collection","Seek receivables ageing and collection status.",IF('RATIO RESULTS'!$AI26="Negative working capital","Seek clarification on working-capital support.",IF('RATIO RESULTS'!$AI26="Statement status limits weight on ratios","Request audited statements before relying on these ratios.","No automatic clarification from ratio screen. Verify against criteria.")))))))))</f>
        <v/>
      </c>
      <c r="H26" s="13" t="str">
        <f>IF('RATIO RESULTS'!$B26&lt;&gt;"","Chair to confirm source statement, year, line item, formula and approved criteria before use.","")</f>
        <v/>
      </c>
    </row>
    <row r="27" spans="1:8">
      <c r="A27" s="13" t="str">
        <f>IF('RATIO RESULTS'!$B27&lt;&gt;"",'RATIO RESULTS'!$A27,"")</f>
        <v/>
      </c>
      <c r="B27" s="13" t="str">
        <f>IF('RATIO RESULTS'!$B27&lt;&gt;"",'RATIO RESULTS'!$B27,"")</f>
        <v/>
      </c>
      <c r="C27" s="13" t="str">
        <f>IF('RATIO RESULTS'!$B27&lt;&gt;"",'RATIO RESULTS'!$D27,"")</f>
        <v/>
      </c>
      <c r="D27" s="13" t="str">
        <f>IF('RATIO RESULTS'!$B27&lt;&gt;"",'RATIO RESULTS'!$AH27,"")</f>
        <v/>
      </c>
      <c r="E27" s="13" t="str">
        <f>IF('RATIO RESULTS'!$B27&lt;&gt;"",'RATIO RESULTS'!$AI27,"")</f>
        <v/>
      </c>
      <c r="F27" s="13" t="str">
        <f>IF('RATIO RESULTS'!$B27="","","The Committee reviewed "&amp;'RATIO RESULTS'!$B27&amp;" for financial year "&amp;'RATIO RESULTS'!$D27&amp;" using the submitted financial statement figures entered in the workbook. On a first-pass screening basis, the bidder is assessed as "&amp;LOWER('RATIO RESULTS'!$AH27)&amp;". Key indicators include Current Ratio "&amp;IF(ISNUMBER('RATIO RESULTS'!$P27),TEXT('RATIO RESULTS'!$P27,"0.00"),"not available")&amp;", Debt-to-Equity "&amp;IF(ISNUMBER('RATIO RESULTS'!$T27),TEXT('RATIO RESULTS'!$T27,"0.00"),"not available")&amp;", Net Profit Margin "&amp;IF(ISNUMBER('RATIO RESULTS'!$J27),TEXT('RATIO RESULTS'!$J27,"0.00%"),"not available")&amp;", and Working Capital of "&amp;IF(ISNUMBER('RATIO RESULTS'!$AC27),"TTD "&amp;TEXT('RATIO RESULTS'!$AC27,"#,##0"),"not available")&amp;". The main flag noted is: "&amp;'RATIO RESULTS'!$AI27&amp;". This is a screening finding only and must be read with the approved prequalification criteria and the source documents.")</f>
        <v/>
      </c>
      <c r="G27" s="13" t="str">
        <f>IF('RATIO RESULTS'!$B27="","",IF('RATIO RESULTS'!$F27&lt;&gt;"Checked","Confirm source figures and financial year used.",IF('RATIO RESULTS'!$AI27="Negative equity — possible insolvency","Request clarification on negative equity, accumulated losses, and any restructuring or capital injection plans.",IF('RATIO RESULTS'!$AI27="Loss position","Request explanation for loss position and evidence of capacity to perform.",IF('RATIO RESULTS'!$AI27="Current liabilities exceed current assets","Seek clarification on short-term liquidity and ability to fund mobilisation.",IF('RATIO RESULTS'!$AI27="High leverage","Seek clarification on debt service and financing support.",IF('RATIO RESULTS'!$AI27="Slow receivables collection","Seek receivables ageing and collection status.",IF('RATIO RESULTS'!$AI27="Negative working capital","Seek clarification on working-capital support.",IF('RATIO RESULTS'!$AI27="Statement status limits weight on ratios","Request audited statements before relying on these ratios.","No automatic clarification from ratio screen. Verify against criteria.")))))))))</f>
        <v/>
      </c>
      <c r="H27" s="13" t="str">
        <f>IF('RATIO RESULTS'!$B27&lt;&gt;"","Chair to confirm source statement, year, line item, formula and approved criteria before use.","")</f>
        <v/>
      </c>
    </row>
    <row r="28" spans="1:8">
      <c r="A28" s="13" t="str">
        <f>IF('RATIO RESULTS'!$B28&lt;&gt;"",'RATIO RESULTS'!$A28,"")</f>
        <v/>
      </c>
      <c r="B28" s="13" t="str">
        <f>IF('RATIO RESULTS'!$B28&lt;&gt;"",'RATIO RESULTS'!$B28,"")</f>
        <v/>
      </c>
      <c r="C28" s="13" t="str">
        <f>IF('RATIO RESULTS'!$B28&lt;&gt;"",'RATIO RESULTS'!$D28,"")</f>
        <v/>
      </c>
      <c r="D28" s="13" t="str">
        <f>IF('RATIO RESULTS'!$B28&lt;&gt;"",'RATIO RESULTS'!$AH28,"")</f>
        <v/>
      </c>
      <c r="E28" s="13" t="str">
        <f>IF('RATIO RESULTS'!$B28&lt;&gt;"",'RATIO RESULTS'!$AI28,"")</f>
        <v/>
      </c>
      <c r="F28" s="13" t="str">
        <f>IF('RATIO RESULTS'!$B28="","","The Committee reviewed "&amp;'RATIO RESULTS'!$B28&amp;" for financial year "&amp;'RATIO RESULTS'!$D28&amp;" using the submitted financial statement figures entered in the workbook. On a first-pass screening basis, the bidder is assessed as "&amp;LOWER('RATIO RESULTS'!$AH28)&amp;". Key indicators include Current Ratio "&amp;IF(ISNUMBER('RATIO RESULTS'!$P28),TEXT('RATIO RESULTS'!$P28,"0.00"),"not available")&amp;", Debt-to-Equity "&amp;IF(ISNUMBER('RATIO RESULTS'!$T28),TEXT('RATIO RESULTS'!$T28,"0.00"),"not available")&amp;", Net Profit Margin "&amp;IF(ISNUMBER('RATIO RESULTS'!$J28),TEXT('RATIO RESULTS'!$J28,"0.00%"),"not available")&amp;", and Working Capital of "&amp;IF(ISNUMBER('RATIO RESULTS'!$AC28),"TTD "&amp;TEXT('RATIO RESULTS'!$AC28,"#,##0"),"not available")&amp;". The main flag noted is: "&amp;'RATIO RESULTS'!$AI28&amp;". This is a screening finding only and must be read with the approved prequalification criteria and the source documents.")</f>
        <v/>
      </c>
      <c r="G28" s="13" t="str">
        <f>IF('RATIO RESULTS'!$B28="","",IF('RATIO RESULTS'!$F28&lt;&gt;"Checked","Confirm source figures and financial year used.",IF('RATIO RESULTS'!$AI28="Negative equity — possible insolvency","Request clarification on negative equity, accumulated losses, and any restructuring or capital injection plans.",IF('RATIO RESULTS'!$AI28="Loss position","Request explanation for loss position and evidence of capacity to perform.",IF('RATIO RESULTS'!$AI28="Current liabilities exceed current assets","Seek clarification on short-term liquidity and ability to fund mobilisation.",IF('RATIO RESULTS'!$AI28="High leverage","Seek clarification on debt service and financing support.",IF('RATIO RESULTS'!$AI28="Slow receivables collection","Seek receivables ageing and collection status.",IF('RATIO RESULTS'!$AI28="Negative working capital","Seek clarification on working-capital support.",IF('RATIO RESULTS'!$AI28="Statement status limits weight on ratios","Request audited statements before relying on these ratios.","No automatic clarification from ratio screen. Verify against criteria.")))))))))</f>
        <v/>
      </c>
      <c r="H28" s="13" t="str">
        <f>IF('RATIO RESULTS'!$B28&lt;&gt;"","Chair to confirm source statement, year, line item, formula and approved criteria before use.","")</f>
        <v/>
      </c>
    </row>
    <row r="29" spans="1:8">
      <c r="A29" s="13" t="str">
        <f>IF('RATIO RESULTS'!$B29&lt;&gt;"",'RATIO RESULTS'!$A29,"")</f>
        <v/>
      </c>
      <c r="B29" s="13" t="str">
        <f>IF('RATIO RESULTS'!$B29&lt;&gt;"",'RATIO RESULTS'!$B29,"")</f>
        <v/>
      </c>
      <c r="C29" s="13" t="str">
        <f>IF('RATIO RESULTS'!$B29&lt;&gt;"",'RATIO RESULTS'!$D29,"")</f>
        <v/>
      </c>
      <c r="D29" s="13" t="str">
        <f>IF('RATIO RESULTS'!$B29&lt;&gt;"",'RATIO RESULTS'!$AH29,"")</f>
        <v/>
      </c>
      <c r="E29" s="13" t="str">
        <f>IF('RATIO RESULTS'!$B29&lt;&gt;"",'RATIO RESULTS'!$AI29,"")</f>
        <v/>
      </c>
      <c r="F29" s="13" t="str">
        <f>IF('RATIO RESULTS'!$B29="","","The Committee reviewed "&amp;'RATIO RESULTS'!$B29&amp;" for financial year "&amp;'RATIO RESULTS'!$D29&amp;" using the submitted financial statement figures entered in the workbook. On a first-pass screening basis, the bidder is assessed as "&amp;LOWER('RATIO RESULTS'!$AH29)&amp;". Key indicators include Current Ratio "&amp;IF(ISNUMBER('RATIO RESULTS'!$P29),TEXT('RATIO RESULTS'!$P29,"0.00"),"not available")&amp;", Debt-to-Equity "&amp;IF(ISNUMBER('RATIO RESULTS'!$T29),TEXT('RATIO RESULTS'!$T29,"0.00"),"not available")&amp;", Net Profit Margin "&amp;IF(ISNUMBER('RATIO RESULTS'!$J29),TEXT('RATIO RESULTS'!$J29,"0.00%"),"not available")&amp;", and Working Capital of "&amp;IF(ISNUMBER('RATIO RESULTS'!$AC29),"TTD "&amp;TEXT('RATIO RESULTS'!$AC29,"#,##0"),"not available")&amp;". The main flag noted is: "&amp;'RATIO RESULTS'!$AI29&amp;". This is a screening finding only and must be read with the approved prequalification criteria and the source documents.")</f>
        <v/>
      </c>
      <c r="G29" s="13" t="str">
        <f>IF('RATIO RESULTS'!$B29="","",IF('RATIO RESULTS'!$F29&lt;&gt;"Checked","Confirm source figures and financial year used.",IF('RATIO RESULTS'!$AI29="Negative equity — possible insolvency","Request clarification on negative equity, accumulated losses, and any restructuring or capital injection plans.",IF('RATIO RESULTS'!$AI29="Loss position","Request explanation for loss position and evidence of capacity to perform.",IF('RATIO RESULTS'!$AI29="Current liabilities exceed current assets","Seek clarification on short-term liquidity and ability to fund mobilisation.",IF('RATIO RESULTS'!$AI29="High leverage","Seek clarification on debt service and financing support.",IF('RATIO RESULTS'!$AI29="Slow receivables collection","Seek receivables ageing and collection status.",IF('RATIO RESULTS'!$AI29="Negative working capital","Seek clarification on working-capital support.",IF('RATIO RESULTS'!$AI29="Statement status limits weight on ratios","Request audited statements before relying on these ratios.","No automatic clarification from ratio screen. Verify against criteria.")))))))))</f>
        <v/>
      </c>
      <c r="H29" s="13" t="str">
        <f>IF('RATIO RESULTS'!$B29&lt;&gt;"","Chair to confirm source statement, year, line item, formula and approved criteria before use.","")</f>
        <v/>
      </c>
    </row>
    <row r="30" spans="1:8">
      <c r="A30" s="13" t="str">
        <f>IF('RATIO RESULTS'!$B30&lt;&gt;"",'RATIO RESULTS'!$A30,"")</f>
        <v/>
      </c>
      <c r="B30" s="13" t="str">
        <f>IF('RATIO RESULTS'!$B30&lt;&gt;"",'RATIO RESULTS'!$B30,"")</f>
        <v/>
      </c>
      <c r="C30" s="13" t="str">
        <f>IF('RATIO RESULTS'!$B30&lt;&gt;"",'RATIO RESULTS'!$D30,"")</f>
        <v/>
      </c>
      <c r="D30" s="13" t="str">
        <f>IF('RATIO RESULTS'!$B30&lt;&gt;"",'RATIO RESULTS'!$AH30,"")</f>
        <v/>
      </c>
      <c r="E30" s="13" t="str">
        <f>IF('RATIO RESULTS'!$B30&lt;&gt;"",'RATIO RESULTS'!$AI30,"")</f>
        <v/>
      </c>
      <c r="F30" s="13" t="str">
        <f>IF('RATIO RESULTS'!$B30="","","The Committee reviewed "&amp;'RATIO RESULTS'!$B30&amp;" for financial year "&amp;'RATIO RESULTS'!$D30&amp;" using the submitted financial statement figures entered in the workbook. On a first-pass screening basis, the bidder is assessed as "&amp;LOWER('RATIO RESULTS'!$AH30)&amp;". Key indicators include Current Ratio "&amp;IF(ISNUMBER('RATIO RESULTS'!$P30),TEXT('RATIO RESULTS'!$P30,"0.00"),"not available")&amp;", Debt-to-Equity "&amp;IF(ISNUMBER('RATIO RESULTS'!$T30),TEXT('RATIO RESULTS'!$T30,"0.00"),"not available")&amp;", Net Profit Margin "&amp;IF(ISNUMBER('RATIO RESULTS'!$J30),TEXT('RATIO RESULTS'!$J30,"0.00%"),"not available")&amp;", and Working Capital of "&amp;IF(ISNUMBER('RATIO RESULTS'!$AC30),"TTD "&amp;TEXT('RATIO RESULTS'!$AC30,"#,##0"),"not available")&amp;". The main flag noted is: "&amp;'RATIO RESULTS'!$AI30&amp;". This is a screening finding only and must be read with the approved prequalification criteria and the source documents.")</f>
        <v/>
      </c>
      <c r="G30" s="13" t="str">
        <f>IF('RATIO RESULTS'!$B30="","",IF('RATIO RESULTS'!$F30&lt;&gt;"Checked","Confirm source figures and financial year used.",IF('RATIO RESULTS'!$AI30="Negative equity — possible insolvency","Request clarification on negative equity, accumulated losses, and any restructuring or capital injection plans.",IF('RATIO RESULTS'!$AI30="Loss position","Request explanation for loss position and evidence of capacity to perform.",IF('RATIO RESULTS'!$AI30="Current liabilities exceed current assets","Seek clarification on short-term liquidity and ability to fund mobilisation.",IF('RATIO RESULTS'!$AI30="High leverage","Seek clarification on debt service and financing support.",IF('RATIO RESULTS'!$AI30="Slow receivables collection","Seek receivables ageing and collection status.",IF('RATIO RESULTS'!$AI30="Negative working capital","Seek clarification on working-capital support.",IF('RATIO RESULTS'!$AI30="Statement status limits weight on ratios","Request audited statements before relying on these ratios.","No automatic clarification from ratio screen. Verify against criteria.")))))))))</f>
        <v/>
      </c>
      <c r="H30" s="13" t="str">
        <f>IF('RATIO RESULTS'!$B30&lt;&gt;"","Chair to confirm source statement, year, line item, formula and approved criteria before use.","")</f>
        <v/>
      </c>
    </row>
    <row r="31" spans="1:8">
      <c r="A31" s="13" t="str">
        <f>IF('RATIO RESULTS'!$B31&lt;&gt;"",'RATIO RESULTS'!$A31,"")</f>
        <v/>
      </c>
      <c r="B31" s="13" t="str">
        <f>IF('RATIO RESULTS'!$B31&lt;&gt;"",'RATIO RESULTS'!$B31,"")</f>
        <v/>
      </c>
      <c r="C31" s="13" t="str">
        <f>IF('RATIO RESULTS'!$B31&lt;&gt;"",'RATIO RESULTS'!$D31,"")</f>
        <v/>
      </c>
      <c r="D31" s="13" t="str">
        <f>IF('RATIO RESULTS'!$B31&lt;&gt;"",'RATIO RESULTS'!$AH31,"")</f>
        <v/>
      </c>
      <c r="E31" s="13" t="str">
        <f>IF('RATIO RESULTS'!$B31&lt;&gt;"",'RATIO RESULTS'!$AI31,"")</f>
        <v/>
      </c>
      <c r="F31" s="13" t="str">
        <f>IF('RATIO RESULTS'!$B31="","","The Committee reviewed "&amp;'RATIO RESULTS'!$B31&amp;" for financial year "&amp;'RATIO RESULTS'!$D31&amp;" using the submitted financial statement figures entered in the workbook. On a first-pass screening basis, the bidder is assessed as "&amp;LOWER('RATIO RESULTS'!$AH31)&amp;". Key indicators include Current Ratio "&amp;IF(ISNUMBER('RATIO RESULTS'!$P31),TEXT('RATIO RESULTS'!$P31,"0.00"),"not available")&amp;", Debt-to-Equity "&amp;IF(ISNUMBER('RATIO RESULTS'!$T31),TEXT('RATIO RESULTS'!$T31,"0.00"),"not available")&amp;", Net Profit Margin "&amp;IF(ISNUMBER('RATIO RESULTS'!$J31),TEXT('RATIO RESULTS'!$J31,"0.00%"),"not available")&amp;", and Working Capital of "&amp;IF(ISNUMBER('RATIO RESULTS'!$AC31),"TTD "&amp;TEXT('RATIO RESULTS'!$AC31,"#,##0"),"not available")&amp;". The main flag noted is: "&amp;'RATIO RESULTS'!$AI31&amp;". This is a screening finding only and must be read with the approved prequalification criteria and the source documents.")</f>
        <v/>
      </c>
      <c r="G31" s="13" t="str">
        <f>IF('RATIO RESULTS'!$B31="","",IF('RATIO RESULTS'!$F31&lt;&gt;"Checked","Confirm source figures and financial year used.",IF('RATIO RESULTS'!$AI31="Negative equity — possible insolvency","Request clarification on negative equity, accumulated losses, and any restructuring or capital injection plans.",IF('RATIO RESULTS'!$AI31="Loss position","Request explanation for loss position and evidence of capacity to perform.",IF('RATIO RESULTS'!$AI31="Current liabilities exceed current assets","Seek clarification on short-term liquidity and ability to fund mobilisation.",IF('RATIO RESULTS'!$AI31="High leverage","Seek clarification on debt service and financing support.",IF('RATIO RESULTS'!$AI31="Slow receivables collection","Seek receivables ageing and collection status.",IF('RATIO RESULTS'!$AI31="Negative working capital","Seek clarification on working-capital support.",IF('RATIO RESULTS'!$AI31="Statement status limits weight on ratios","Request audited statements before relying on these ratios.","No automatic clarification from ratio screen. Verify against criteria.")))))))))</f>
        <v/>
      </c>
      <c r="H31" s="13" t="str">
        <f>IF('RATIO RESULTS'!$B31&lt;&gt;"","Chair to confirm source statement, year, line item, formula and approved criteria before use.","")</f>
        <v/>
      </c>
    </row>
    <row r="32" spans="1:8">
      <c r="A32" s="13" t="str">
        <f>IF('RATIO RESULTS'!$B32&lt;&gt;"",'RATIO RESULTS'!$A32,"")</f>
        <v/>
      </c>
      <c r="B32" s="13" t="str">
        <f>IF('RATIO RESULTS'!$B32&lt;&gt;"",'RATIO RESULTS'!$B32,"")</f>
        <v/>
      </c>
      <c r="C32" s="13" t="str">
        <f>IF('RATIO RESULTS'!$B32&lt;&gt;"",'RATIO RESULTS'!$D32,"")</f>
        <v/>
      </c>
      <c r="D32" s="13" t="str">
        <f>IF('RATIO RESULTS'!$B32&lt;&gt;"",'RATIO RESULTS'!$AH32,"")</f>
        <v/>
      </c>
      <c r="E32" s="13" t="str">
        <f>IF('RATIO RESULTS'!$B32&lt;&gt;"",'RATIO RESULTS'!$AI32,"")</f>
        <v/>
      </c>
      <c r="F32" s="13" t="str">
        <f>IF('RATIO RESULTS'!$B32="","","The Committee reviewed "&amp;'RATIO RESULTS'!$B32&amp;" for financial year "&amp;'RATIO RESULTS'!$D32&amp;" using the submitted financial statement figures entered in the workbook. On a first-pass screening basis, the bidder is assessed as "&amp;LOWER('RATIO RESULTS'!$AH32)&amp;". Key indicators include Current Ratio "&amp;IF(ISNUMBER('RATIO RESULTS'!$P32),TEXT('RATIO RESULTS'!$P32,"0.00"),"not available")&amp;", Debt-to-Equity "&amp;IF(ISNUMBER('RATIO RESULTS'!$T32),TEXT('RATIO RESULTS'!$T32,"0.00"),"not available")&amp;", Net Profit Margin "&amp;IF(ISNUMBER('RATIO RESULTS'!$J32),TEXT('RATIO RESULTS'!$J32,"0.00%"),"not available")&amp;", and Working Capital of "&amp;IF(ISNUMBER('RATIO RESULTS'!$AC32),"TTD "&amp;TEXT('RATIO RESULTS'!$AC32,"#,##0"),"not available")&amp;". The main flag noted is: "&amp;'RATIO RESULTS'!$AI32&amp;". This is a screening finding only and must be read with the approved prequalification criteria and the source documents.")</f>
        <v/>
      </c>
      <c r="G32" s="13" t="str">
        <f>IF('RATIO RESULTS'!$B32="","",IF('RATIO RESULTS'!$F32&lt;&gt;"Checked","Confirm source figures and financial year used.",IF('RATIO RESULTS'!$AI32="Negative equity — possible insolvency","Request clarification on negative equity, accumulated losses, and any restructuring or capital injection plans.",IF('RATIO RESULTS'!$AI32="Loss position","Request explanation for loss position and evidence of capacity to perform.",IF('RATIO RESULTS'!$AI32="Current liabilities exceed current assets","Seek clarification on short-term liquidity and ability to fund mobilisation.",IF('RATIO RESULTS'!$AI32="High leverage","Seek clarification on debt service and financing support.",IF('RATIO RESULTS'!$AI32="Slow receivables collection","Seek receivables ageing and collection status.",IF('RATIO RESULTS'!$AI32="Negative working capital","Seek clarification on working-capital support.",IF('RATIO RESULTS'!$AI32="Statement status limits weight on ratios","Request audited statements before relying on these ratios.","No automatic clarification from ratio screen. Verify against criteria.")))))))))</f>
        <v/>
      </c>
      <c r="H32" s="13" t="str">
        <f>IF('RATIO RESULTS'!$B32&lt;&gt;"","Chair to confirm source statement, year, line item, formula and approved criteria before use.","")</f>
        <v/>
      </c>
    </row>
    <row r="33" spans="1:8">
      <c r="A33" s="13" t="str">
        <f>IF('RATIO RESULTS'!$B33&lt;&gt;"",'RATIO RESULTS'!$A33,"")</f>
        <v/>
      </c>
      <c r="B33" s="13" t="str">
        <f>IF('RATIO RESULTS'!$B33&lt;&gt;"",'RATIO RESULTS'!$B33,"")</f>
        <v/>
      </c>
      <c r="C33" s="13" t="str">
        <f>IF('RATIO RESULTS'!$B33&lt;&gt;"",'RATIO RESULTS'!$D33,"")</f>
        <v/>
      </c>
      <c r="D33" s="13" t="str">
        <f>IF('RATIO RESULTS'!$B33&lt;&gt;"",'RATIO RESULTS'!$AH33,"")</f>
        <v/>
      </c>
      <c r="E33" s="13" t="str">
        <f>IF('RATIO RESULTS'!$B33&lt;&gt;"",'RATIO RESULTS'!$AI33,"")</f>
        <v/>
      </c>
      <c r="F33" s="13" t="str">
        <f>IF('RATIO RESULTS'!$B33="","","The Committee reviewed "&amp;'RATIO RESULTS'!$B33&amp;" for financial year "&amp;'RATIO RESULTS'!$D33&amp;" using the submitted financial statement figures entered in the workbook. On a first-pass screening basis, the bidder is assessed as "&amp;LOWER('RATIO RESULTS'!$AH33)&amp;". Key indicators include Current Ratio "&amp;IF(ISNUMBER('RATIO RESULTS'!$P33),TEXT('RATIO RESULTS'!$P33,"0.00"),"not available")&amp;", Debt-to-Equity "&amp;IF(ISNUMBER('RATIO RESULTS'!$T33),TEXT('RATIO RESULTS'!$T33,"0.00"),"not available")&amp;", Net Profit Margin "&amp;IF(ISNUMBER('RATIO RESULTS'!$J33),TEXT('RATIO RESULTS'!$J33,"0.00%"),"not available")&amp;", and Working Capital of "&amp;IF(ISNUMBER('RATIO RESULTS'!$AC33),"TTD "&amp;TEXT('RATIO RESULTS'!$AC33,"#,##0"),"not available")&amp;". The main flag noted is: "&amp;'RATIO RESULTS'!$AI33&amp;". This is a screening finding only and must be read with the approved prequalification criteria and the source documents.")</f>
        <v/>
      </c>
      <c r="G33" s="13" t="str">
        <f>IF('RATIO RESULTS'!$B33="","",IF('RATIO RESULTS'!$F33&lt;&gt;"Checked","Confirm source figures and financial year used.",IF('RATIO RESULTS'!$AI33="Negative equity — possible insolvency","Request clarification on negative equity, accumulated losses, and any restructuring or capital injection plans.",IF('RATIO RESULTS'!$AI33="Loss position","Request explanation for loss position and evidence of capacity to perform.",IF('RATIO RESULTS'!$AI33="Current liabilities exceed current assets","Seek clarification on short-term liquidity and ability to fund mobilisation.",IF('RATIO RESULTS'!$AI33="High leverage","Seek clarification on debt service and financing support.",IF('RATIO RESULTS'!$AI33="Slow receivables collection","Seek receivables ageing and collection status.",IF('RATIO RESULTS'!$AI33="Negative working capital","Seek clarification on working-capital support.",IF('RATIO RESULTS'!$AI33="Statement status limits weight on ratios","Request audited statements before relying on these ratios.","No automatic clarification from ratio screen. Verify against criteria.")))))))))</f>
        <v/>
      </c>
      <c r="H33" s="13" t="str">
        <f>IF('RATIO RESULTS'!$B33&lt;&gt;"","Chair to confirm source statement, year, line item, formula and approved criteria before use.","")</f>
        <v/>
      </c>
    </row>
    <row r="34" spans="1:8">
      <c r="A34" s="13" t="str">
        <f>IF('RATIO RESULTS'!$B34&lt;&gt;"",'RATIO RESULTS'!$A34,"")</f>
        <v/>
      </c>
      <c r="B34" s="13" t="str">
        <f>IF('RATIO RESULTS'!$B34&lt;&gt;"",'RATIO RESULTS'!$B34,"")</f>
        <v/>
      </c>
      <c r="C34" s="13" t="str">
        <f>IF('RATIO RESULTS'!$B34&lt;&gt;"",'RATIO RESULTS'!$D34,"")</f>
        <v/>
      </c>
      <c r="D34" s="13" t="str">
        <f>IF('RATIO RESULTS'!$B34&lt;&gt;"",'RATIO RESULTS'!$AH34,"")</f>
        <v/>
      </c>
      <c r="E34" s="13" t="str">
        <f>IF('RATIO RESULTS'!$B34&lt;&gt;"",'RATIO RESULTS'!$AI34,"")</f>
        <v/>
      </c>
      <c r="F34" s="13" t="str">
        <f>IF('RATIO RESULTS'!$B34="","","The Committee reviewed "&amp;'RATIO RESULTS'!$B34&amp;" for financial year "&amp;'RATIO RESULTS'!$D34&amp;" using the submitted financial statement figures entered in the workbook. On a first-pass screening basis, the bidder is assessed as "&amp;LOWER('RATIO RESULTS'!$AH34)&amp;". Key indicators include Current Ratio "&amp;IF(ISNUMBER('RATIO RESULTS'!$P34),TEXT('RATIO RESULTS'!$P34,"0.00"),"not available")&amp;", Debt-to-Equity "&amp;IF(ISNUMBER('RATIO RESULTS'!$T34),TEXT('RATIO RESULTS'!$T34,"0.00"),"not available")&amp;", Net Profit Margin "&amp;IF(ISNUMBER('RATIO RESULTS'!$J34),TEXT('RATIO RESULTS'!$J34,"0.00%"),"not available")&amp;", and Working Capital of "&amp;IF(ISNUMBER('RATIO RESULTS'!$AC34),"TTD "&amp;TEXT('RATIO RESULTS'!$AC34,"#,##0"),"not available")&amp;". The main flag noted is: "&amp;'RATIO RESULTS'!$AI34&amp;". This is a screening finding only and must be read with the approved prequalification criteria and the source documents.")</f>
        <v/>
      </c>
      <c r="G34" s="13" t="str">
        <f>IF('RATIO RESULTS'!$B34="","",IF('RATIO RESULTS'!$F34&lt;&gt;"Checked","Confirm source figures and financial year used.",IF('RATIO RESULTS'!$AI34="Negative equity — possible insolvency","Request clarification on negative equity, accumulated losses, and any restructuring or capital injection plans.",IF('RATIO RESULTS'!$AI34="Loss position","Request explanation for loss position and evidence of capacity to perform.",IF('RATIO RESULTS'!$AI34="Current liabilities exceed current assets","Seek clarification on short-term liquidity and ability to fund mobilisation.",IF('RATIO RESULTS'!$AI34="High leverage","Seek clarification on debt service and financing support.",IF('RATIO RESULTS'!$AI34="Slow receivables collection","Seek receivables ageing and collection status.",IF('RATIO RESULTS'!$AI34="Negative working capital","Seek clarification on working-capital support.",IF('RATIO RESULTS'!$AI34="Statement status limits weight on ratios","Request audited statements before relying on these ratios.","No automatic clarification from ratio screen. Verify against criteria.")))))))))</f>
        <v/>
      </c>
      <c r="H34" s="13" t="str">
        <f>IF('RATIO RESULTS'!$B34&lt;&gt;"","Chair to confirm source statement, year, line item, formula and approved criteria before use.","")</f>
        <v/>
      </c>
    </row>
    <row r="35" spans="1:8">
      <c r="A35" s="13" t="str">
        <f>IF('RATIO RESULTS'!$B35&lt;&gt;"",'RATIO RESULTS'!$A35,"")</f>
        <v/>
      </c>
      <c r="B35" s="13" t="str">
        <f>IF('RATIO RESULTS'!$B35&lt;&gt;"",'RATIO RESULTS'!$B35,"")</f>
        <v/>
      </c>
      <c r="C35" s="13" t="str">
        <f>IF('RATIO RESULTS'!$B35&lt;&gt;"",'RATIO RESULTS'!$D35,"")</f>
        <v/>
      </c>
      <c r="D35" s="13" t="str">
        <f>IF('RATIO RESULTS'!$B35&lt;&gt;"",'RATIO RESULTS'!$AH35,"")</f>
        <v/>
      </c>
      <c r="E35" s="13" t="str">
        <f>IF('RATIO RESULTS'!$B35&lt;&gt;"",'RATIO RESULTS'!$AI35,"")</f>
        <v/>
      </c>
      <c r="F35" s="13" t="str">
        <f>IF('RATIO RESULTS'!$B35="","","The Committee reviewed "&amp;'RATIO RESULTS'!$B35&amp;" for financial year "&amp;'RATIO RESULTS'!$D35&amp;" using the submitted financial statement figures entered in the workbook. On a first-pass screening basis, the bidder is assessed as "&amp;LOWER('RATIO RESULTS'!$AH35)&amp;". Key indicators include Current Ratio "&amp;IF(ISNUMBER('RATIO RESULTS'!$P35),TEXT('RATIO RESULTS'!$P35,"0.00"),"not available")&amp;", Debt-to-Equity "&amp;IF(ISNUMBER('RATIO RESULTS'!$T35),TEXT('RATIO RESULTS'!$T35,"0.00"),"not available")&amp;", Net Profit Margin "&amp;IF(ISNUMBER('RATIO RESULTS'!$J35),TEXT('RATIO RESULTS'!$J35,"0.00%"),"not available")&amp;", and Working Capital of "&amp;IF(ISNUMBER('RATIO RESULTS'!$AC35),"TTD "&amp;TEXT('RATIO RESULTS'!$AC35,"#,##0"),"not available")&amp;". The main flag noted is: "&amp;'RATIO RESULTS'!$AI35&amp;". This is a screening finding only and must be read with the approved prequalification criteria and the source documents.")</f>
        <v/>
      </c>
      <c r="G35" s="13" t="str">
        <f>IF('RATIO RESULTS'!$B35="","",IF('RATIO RESULTS'!$F35&lt;&gt;"Checked","Confirm source figures and financial year used.",IF('RATIO RESULTS'!$AI35="Negative equity — possible insolvency","Request clarification on negative equity, accumulated losses, and any restructuring or capital injection plans.",IF('RATIO RESULTS'!$AI35="Loss position","Request explanation for loss position and evidence of capacity to perform.",IF('RATIO RESULTS'!$AI35="Current liabilities exceed current assets","Seek clarification on short-term liquidity and ability to fund mobilisation.",IF('RATIO RESULTS'!$AI35="High leverage","Seek clarification on debt service and financing support.",IF('RATIO RESULTS'!$AI35="Slow receivables collection","Seek receivables ageing and collection status.",IF('RATIO RESULTS'!$AI35="Negative working capital","Seek clarification on working-capital support.",IF('RATIO RESULTS'!$AI35="Statement status limits weight on ratios","Request audited statements before relying on these ratios.","No automatic clarification from ratio screen. Verify against criteria.")))))))))</f>
        <v/>
      </c>
      <c r="H35" s="13" t="str">
        <f>IF('RATIO RESULTS'!$B35&lt;&gt;"","Chair to confirm source statement, year, line item, formula and approved criteria before use.","")</f>
        <v/>
      </c>
    </row>
  </sheetData>
  <mergeCells count="2">
    <mergeCell ref="A1:H1"/>
    <mergeCell ref="A2:H3"/>
  </mergeCell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8.68181818181818" defaultRowHeight="14.5" outlineLevelCol="5"/>
  <cols>
    <col min="1" max="1" width="22" style="1" customWidth="1"/>
    <col min="2" max="2" width="34" style="1" customWidth="1"/>
    <col min="3" max="3" width="22" style="1" customWidth="1"/>
    <col min="4" max="4" width="36" style="1" customWidth="1"/>
    <col min="5" max="5" width="34" style="1" customWidth="1"/>
    <col min="6" max="6" width="42" style="1" customWidth="1"/>
  </cols>
  <sheetData>
    <row r="1" ht="27.75" customHeight="1" spans="1:6">
      <c r="A1" s="5" t="s">
        <v>109</v>
      </c>
      <c r="B1" s="5"/>
      <c r="C1" s="5"/>
      <c r="D1" s="5"/>
      <c r="E1" s="5"/>
      <c r="F1" s="5"/>
    </row>
    <row r="2" ht="15" customHeight="1" spans="1:6">
      <c r="A2" s="6" t="s">
        <v>110</v>
      </c>
      <c r="B2" s="6"/>
      <c r="C2" s="6"/>
      <c r="D2" s="6"/>
      <c r="E2" s="6"/>
      <c r="F2" s="6"/>
    </row>
    <row r="3" ht="12.5" spans="1:6">
      <c r="A3" s="6"/>
      <c r="B3" s="6"/>
      <c r="C3" s="6"/>
      <c r="D3" s="6"/>
      <c r="E3" s="6"/>
      <c r="F3" s="6"/>
    </row>
    <row r="4" spans="1:6">
      <c r="A4" s="4"/>
      <c r="B4" s="4"/>
      <c r="C4" s="4"/>
      <c r="D4" s="4"/>
      <c r="E4" s="4"/>
      <c r="F4" s="4"/>
    </row>
    <row r="5" spans="1:6">
      <c r="A5" s="7" t="s">
        <v>111</v>
      </c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</row>
    <row r="6" ht="29" spans="1:6">
      <c r="A6" s="8" t="s">
        <v>37</v>
      </c>
      <c r="B6" s="8" t="s">
        <v>117</v>
      </c>
      <c r="C6" s="8" t="s">
        <v>118</v>
      </c>
      <c r="D6" s="8" t="s">
        <v>119</v>
      </c>
      <c r="E6" s="8" t="s">
        <v>120</v>
      </c>
      <c r="F6" s="8" t="s">
        <v>121</v>
      </c>
    </row>
    <row r="7" ht="29" spans="1:6">
      <c r="A7" s="8" t="s">
        <v>38</v>
      </c>
      <c r="B7" s="8" t="s">
        <v>122</v>
      </c>
      <c r="C7" s="8" t="s">
        <v>118</v>
      </c>
      <c r="D7" s="8" t="s">
        <v>123</v>
      </c>
      <c r="E7" s="8" t="s">
        <v>124</v>
      </c>
      <c r="F7" s="8" t="s">
        <v>125</v>
      </c>
    </row>
    <row r="8" ht="29" spans="1:6">
      <c r="A8" s="8" t="s">
        <v>126</v>
      </c>
      <c r="B8" s="8" t="s">
        <v>127</v>
      </c>
      <c r="C8" s="8" t="s">
        <v>118</v>
      </c>
      <c r="D8" s="8" t="s">
        <v>126</v>
      </c>
      <c r="E8" s="8" t="s">
        <v>61</v>
      </c>
      <c r="F8" s="8" t="s">
        <v>128</v>
      </c>
    </row>
    <row r="9" ht="29" spans="1:6">
      <c r="A9" s="8" t="s">
        <v>40</v>
      </c>
      <c r="B9" s="8" t="s">
        <v>129</v>
      </c>
      <c r="C9" s="8" t="s">
        <v>118</v>
      </c>
      <c r="D9" s="8" t="s">
        <v>130</v>
      </c>
      <c r="E9" s="8" t="s">
        <v>131</v>
      </c>
      <c r="F9" s="8" t="s">
        <v>132</v>
      </c>
    </row>
    <row r="10" ht="29" spans="1:6">
      <c r="A10" s="8" t="s">
        <v>52</v>
      </c>
      <c r="B10" s="8" t="s">
        <v>133</v>
      </c>
      <c r="C10" s="8" t="s">
        <v>118</v>
      </c>
      <c r="D10" s="8" t="s">
        <v>134</v>
      </c>
      <c r="E10" s="8" t="s">
        <v>84</v>
      </c>
      <c r="F10" s="8" t="s">
        <v>135</v>
      </c>
    </row>
    <row r="11" ht="29" spans="1:6">
      <c r="A11" s="8" t="s">
        <v>53</v>
      </c>
      <c r="B11" s="8" t="s">
        <v>136</v>
      </c>
      <c r="C11" s="8" t="s">
        <v>137</v>
      </c>
      <c r="D11" s="8" t="s">
        <v>138</v>
      </c>
      <c r="E11" s="8" t="s">
        <v>84</v>
      </c>
      <c r="F11" s="8" t="s">
        <v>139</v>
      </c>
    </row>
    <row r="12" ht="29" spans="1:6">
      <c r="A12" s="8" t="s">
        <v>41</v>
      </c>
      <c r="B12" s="8" t="s">
        <v>140</v>
      </c>
      <c r="C12" s="8" t="s">
        <v>141</v>
      </c>
      <c r="D12" s="8" t="s">
        <v>41</v>
      </c>
      <c r="E12" s="8" t="s">
        <v>142</v>
      </c>
      <c r="F12" s="8" t="s">
        <v>143</v>
      </c>
    </row>
    <row r="13" ht="29" spans="1:6">
      <c r="A13" s="8" t="s">
        <v>42</v>
      </c>
      <c r="B13" s="8" t="s">
        <v>144</v>
      </c>
      <c r="C13" s="8" t="s">
        <v>141</v>
      </c>
      <c r="D13" s="8" t="s">
        <v>145</v>
      </c>
      <c r="E13" s="8" t="s">
        <v>146</v>
      </c>
      <c r="F13" s="8" t="s">
        <v>147</v>
      </c>
    </row>
    <row r="14" ht="29" spans="1:6">
      <c r="A14" s="8" t="s">
        <v>148</v>
      </c>
      <c r="B14" s="8" t="s">
        <v>149</v>
      </c>
      <c r="C14" s="8" t="s">
        <v>141</v>
      </c>
      <c r="D14" s="8" t="s">
        <v>150</v>
      </c>
      <c r="E14" s="8" t="s">
        <v>77</v>
      </c>
      <c r="F14" s="8" t="s">
        <v>151</v>
      </c>
    </row>
    <row r="15" ht="29" spans="1:6">
      <c r="A15" s="8" t="s">
        <v>45</v>
      </c>
      <c r="B15" s="8" t="s">
        <v>152</v>
      </c>
      <c r="C15" s="8" t="s">
        <v>141</v>
      </c>
      <c r="D15" s="8" t="s">
        <v>153</v>
      </c>
      <c r="E15" s="8" t="s">
        <v>71</v>
      </c>
      <c r="F15" s="8" t="s">
        <v>154</v>
      </c>
    </row>
    <row r="16" ht="29" spans="1:6">
      <c r="A16" s="8" t="s">
        <v>46</v>
      </c>
      <c r="B16" s="8" t="s">
        <v>155</v>
      </c>
      <c r="C16" s="8" t="s">
        <v>141</v>
      </c>
      <c r="D16" s="8" t="s">
        <v>156</v>
      </c>
      <c r="E16" s="8" t="s">
        <v>157</v>
      </c>
      <c r="F16" s="8" t="s">
        <v>158</v>
      </c>
    </row>
    <row r="17" ht="29" spans="1:6">
      <c r="A17" s="8" t="s">
        <v>47</v>
      </c>
      <c r="B17" s="8" t="s">
        <v>159</v>
      </c>
      <c r="C17" s="8" t="s">
        <v>141</v>
      </c>
      <c r="D17" s="8" t="s">
        <v>47</v>
      </c>
      <c r="E17" s="8" t="s">
        <v>160</v>
      </c>
      <c r="F17" s="8" t="s">
        <v>161</v>
      </c>
    </row>
    <row r="18" ht="29" spans="1:6">
      <c r="A18" s="8" t="s">
        <v>48</v>
      </c>
      <c r="B18" s="8" t="s">
        <v>162</v>
      </c>
      <c r="C18" s="8" t="s">
        <v>141</v>
      </c>
      <c r="D18" s="8" t="s">
        <v>163</v>
      </c>
      <c r="E18" s="8" t="s">
        <v>142</v>
      </c>
      <c r="F18" s="8" t="s">
        <v>164</v>
      </c>
    </row>
    <row r="19" spans="1:6">
      <c r="A19" s="8" t="s">
        <v>50</v>
      </c>
      <c r="B19" s="8" t="s">
        <v>165</v>
      </c>
      <c r="C19" s="8" t="s">
        <v>141</v>
      </c>
      <c r="D19" s="8" t="s">
        <v>50</v>
      </c>
      <c r="E19" s="8" t="s">
        <v>73</v>
      </c>
      <c r="F19" s="8" t="s">
        <v>166</v>
      </c>
    </row>
    <row r="20" spans="1:6">
      <c r="A20" s="8" t="s">
        <v>51</v>
      </c>
      <c r="B20" s="8" t="s">
        <v>167</v>
      </c>
      <c r="C20" s="8" t="s">
        <v>141</v>
      </c>
      <c r="D20" s="8" t="s">
        <v>168</v>
      </c>
      <c r="E20" s="8" t="s">
        <v>169</v>
      </c>
      <c r="F20" s="8" t="s">
        <v>170</v>
      </c>
    </row>
    <row r="21" ht="29" spans="1:6">
      <c r="A21" s="8" t="s">
        <v>171</v>
      </c>
      <c r="B21" s="8" t="s">
        <v>172</v>
      </c>
      <c r="C21" s="8" t="s">
        <v>173</v>
      </c>
      <c r="D21" s="8" t="s">
        <v>174</v>
      </c>
      <c r="E21" s="8" t="s">
        <v>175</v>
      </c>
      <c r="F21" s="8" t="s">
        <v>176</v>
      </c>
    </row>
  </sheetData>
  <mergeCells count="2">
    <mergeCell ref="A1:F1"/>
    <mergeCell ref="A2:F3"/>
  </mergeCell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zoomScale="70" zoomScaleNormal="70" workbookViewId="0">
      <pane ySplit="2" topLeftCell="A3" activePane="bottomLeft" state="frozen"/>
      <selection/>
      <selection pane="bottomLeft" activeCell="C10" sqref="C10"/>
    </sheetView>
  </sheetViews>
  <sheetFormatPr defaultColWidth="8.68181818181818" defaultRowHeight="14.5" outlineLevelCol="7"/>
  <cols>
    <col min="1" max="1" width="34" style="1" customWidth="1"/>
    <col min="2" max="2" width="30" style="1" customWidth="1"/>
    <col min="3" max="3" width="38" style="1" customWidth="1"/>
    <col min="4" max="4" width="48" style="1" customWidth="1"/>
    <col min="5" max="7" width="14" style="1" customWidth="1"/>
    <col min="8" max="8" width="22" style="1" customWidth="1"/>
  </cols>
  <sheetData>
    <row r="1" ht="27.75" customHeight="1" spans="1:8">
      <c r="A1" s="5" t="s">
        <v>177</v>
      </c>
      <c r="B1" s="5"/>
      <c r="C1" s="5"/>
      <c r="D1" s="5"/>
      <c r="E1" s="5"/>
      <c r="F1" s="5"/>
      <c r="G1" s="5"/>
      <c r="H1" s="5"/>
    </row>
    <row r="2" ht="15" customHeight="1" spans="1:8">
      <c r="A2" s="6" t="s">
        <v>178</v>
      </c>
      <c r="B2" s="6"/>
      <c r="C2" s="6"/>
      <c r="D2" s="6"/>
      <c r="E2" s="6"/>
      <c r="F2" s="6"/>
      <c r="G2" s="6"/>
      <c r="H2" s="6"/>
    </row>
    <row r="3" ht="12.5" spans="1:8">
      <c r="A3" s="6"/>
      <c r="B3" s="6"/>
      <c r="C3" s="6"/>
      <c r="D3" s="6"/>
      <c r="E3" s="6"/>
      <c r="F3" s="6"/>
      <c r="G3" s="6"/>
      <c r="H3" s="6"/>
    </row>
    <row r="4" spans="1:8">
      <c r="A4" s="4"/>
      <c r="B4" s="4"/>
      <c r="C4" s="4"/>
      <c r="D4" s="4"/>
      <c r="E4" s="4"/>
      <c r="F4" s="4"/>
      <c r="G4" s="4"/>
      <c r="H4" s="4"/>
    </row>
    <row r="5" ht="13" spans="1:8">
      <c r="A5" s="9" t="s">
        <v>179</v>
      </c>
      <c r="B5" s="9"/>
      <c r="C5" s="9"/>
      <c r="D5" s="9"/>
      <c r="E5" s="9"/>
      <c r="F5" s="9"/>
      <c r="G5" s="9"/>
      <c r="H5" s="9"/>
    </row>
    <row r="6" spans="1:8">
      <c r="A6" s="7" t="s">
        <v>180</v>
      </c>
      <c r="B6" s="7" t="s">
        <v>181</v>
      </c>
      <c r="C6" s="7" t="s">
        <v>92</v>
      </c>
      <c r="D6" s="7" t="s">
        <v>93</v>
      </c>
      <c r="E6" s="7" t="s">
        <v>182</v>
      </c>
      <c r="F6" s="7" t="s">
        <v>183</v>
      </c>
      <c r="G6" s="7" t="s">
        <v>184</v>
      </c>
      <c r="H6" s="7" t="s">
        <v>185</v>
      </c>
    </row>
    <row r="7" ht="43.5" spans="1:8">
      <c r="A7" s="8" t="s">
        <v>69</v>
      </c>
      <c r="B7" s="8" t="s">
        <v>186</v>
      </c>
      <c r="C7" s="8" t="s">
        <v>187</v>
      </c>
      <c r="D7" s="8" t="s">
        <v>188</v>
      </c>
      <c r="E7" s="8" t="s">
        <v>189</v>
      </c>
      <c r="F7" s="8" t="s">
        <v>190</v>
      </c>
      <c r="G7" s="8" t="s">
        <v>191</v>
      </c>
      <c r="H7" s="8" t="s">
        <v>141</v>
      </c>
    </row>
    <row r="8" ht="43.5" spans="1:8">
      <c r="A8" s="8" t="s">
        <v>71</v>
      </c>
      <c r="B8" s="8" t="s">
        <v>192</v>
      </c>
      <c r="C8" s="8" t="s">
        <v>193</v>
      </c>
      <c r="D8" s="8" t="s">
        <v>194</v>
      </c>
      <c r="E8" s="8" t="s">
        <v>195</v>
      </c>
      <c r="F8" s="8" t="s">
        <v>196</v>
      </c>
      <c r="G8" s="8" t="s">
        <v>197</v>
      </c>
      <c r="H8" s="8" t="s">
        <v>141</v>
      </c>
    </row>
    <row r="9" ht="43.5" spans="1:8">
      <c r="A9" s="8" t="s">
        <v>73</v>
      </c>
      <c r="B9" s="8" t="s">
        <v>198</v>
      </c>
      <c r="C9" s="8" t="s">
        <v>199</v>
      </c>
      <c r="D9" s="8" t="s">
        <v>200</v>
      </c>
      <c r="E9" s="8" t="s">
        <v>201</v>
      </c>
      <c r="F9" s="8" t="s">
        <v>202</v>
      </c>
      <c r="G9" s="8" t="s">
        <v>203</v>
      </c>
      <c r="H9" s="8" t="s">
        <v>141</v>
      </c>
    </row>
    <row r="10" ht="43.5" spans="1:8">
      <c r="A10" s="8" t="s">
        <v>84</v>
      </c>
      <c r="B10" s="8" t="s">
        <v>204</v>
      </c>
      <c r="C10" s="8" t="s">
        <v>205</v>
      </c>
      <c r="D10" s="8" t="s">
        <v>206</v>
      </c>
      <c r="E10" s="8" t="s">
        <v>207</v>
      </c>
      <c r="F10" s="8" t="s">
        <v>208</v>
      </c>
      <c r="G10" s="8" t="s">
        <v>209</v>
      </c>
      <c r="H10" s="8" t="s">
        <v>118</v>
      </c>
    </row>
    <row r="11" ht="58" spans="1:8">
      <c r="A11" s="8" t="s">
        <v>210</v>
      </c>
      <c r="B11" s="8" t="s">
        <v>211</v>
      </c>
      <c r="C11" s="8" t="s">
        <v>212</v>
      </c>
      <c r="D11" s="8" t="s">
        <v>213</v>
      </c>
      <c r="E11" s="8" t="s">
        <v>214</v>
      </c>
      <c r="F11" s="8" t="s">
        <v>215</v>
      </c>
      <c r="G11" s="8" t="s">
        <v>216</v>
      </c>
      <c r="H11" s="8" t="s">
        <v>118</v>
      </c>
    </row>
    <row r="12" ht="29" spans="1:8">
      <c r="A12" s="8" t="s">
        <v>82</v>
      </c>
      <c r="B12" s="8" t="s">
        <v>217</v>
      </c>
      <c r="C12" s="8" t="s">
        <v>218</v>
      </c>
      <c r="D12" s="8" t="s">
        <v>219</v>
      </c>
      <c r="E12" s="8" t="s">
        <v>220</v>
      </c>
      <c r="F12" s="8" t="s">
        <v>221</v>
      </c>
      <c r="G12" s="8" t="s">
        <v>222</v>
      </c>
      <c r="H12" s="8" t="s">
        <v>141</v>
      </c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9" t="s">
        <v>223</v>
      </c>
      <c r="B14" s="9"/>
      <c r="C14" s="9"/>
      <c r="D14" s="9"/>
      <c r="E14" s="4"/>
      <c r="F14" s="4"/>
      <c r="G14" s="4"/>
      <c r="H14" s="4"/>
    </row>
    <row r="15" spans="1:8">
      <c r="A15" s="7" t="s">
        <v>33</v>
      </c>
      <c r="B15" s="7" t="s">
        <v>224</v>
      </c>
      <c r="C15" s="7" t="s">
        <v>225</v>
      </c>
      <c r="D15" s="7" t="s">
        <v>116</v>
      </c>
      <c r="E15" s="4"/>
      <c r="F15" s="4"/>
      <c r="G15" s="4"/>
      <c r="H15" s="4"/>
    </row>
    <row r="16" spans="1:8">
      <c r="A16" s="8" t="s">
        <v>226</v>
      </c>
      <c r="B16" s="8" t="s">
        <v>227</v>
      </c>
      <c r="C16" s="8" t="s">
        <v>228</v>
      </c>
      <c r="D16" s="8" t="s">
        <v>229</v>
      </c>
      <c r="E16" s="4"/>
      <c r="F16" s="4"/>
      <c r="G16" s="4"/>
      <c r="H16" s="4"/>
    </row>
    <row r="17" ht="29" spans="1:8">
      <c r="A17" s="8" t="s">
        <v>230</v>
      </c>
      <c r="B17" s="8" t="s">
        <v>231</v>
      </c>
      <c r="C17" s="8" t="s">
        <v>232</v>
      </c>
      <c r="D17" s="8" t="s">
        <v>233</v>
      </c>
      <c r="E17" s="4"/>
      <c r="F17" s="4"/>
      <c r="G17" s="4"/>
      <c r="H17" s="4"/>
    </row>
    <row r="18" spans="1:8">
      <c r="A18" s="8" t="s">
        <v>234</v>
      </c>
      <c r="B18" s="8" t="s">
        <v>235</v>
      </c>
      <c r="C18" s="8" t="s">
        <v>236</v>
      </c>
      <c r="D18" s="8" t="s">
        <v>237</v>
      </c>
      <c r="E18" s="4"/>
      <c r="F18" s="4"/>
      <c r="G18" s="4"/>
      <c r="H18" s="4"/>
    </row>
    <row r="19" spans="1:8">
      <c r="A19" s="8" t="s">
        <v>238</v>
      </c>
      <c r="B19" s="8" t="s">
        <v>239</v>
      </c>
      <c r="C19" s="8" t="s">
        <v>240</v>
      </c>
      <c r="D19" s="8" t="s">
        <v>241</v>
      </c>
      <c r="E19" s="4"/>
      <c r="F19" s="4"/>
      <c r="G19" s="4"/>
      <c r="H19" s="4"/>
    </row>
    <row r="20" ht="29" spans="1:8">
      <c r="A20" s="8" t="s">
        <v>242</v>
      </c>
      <c r="B20" s="8" t="s">
        <v>243</v>
      </c>
      <c r="C20" s="8" t="s">
        <v>244</v>
      </c>
      <c r="D20" s="8" t="s">
        <v>245</v>
      </c>
      <c r="E20" s="4"/>
      <c r="F20" s="4"/>
      <c r="G20" s="4"/>
      <c r="H20" s="4"/>
    </row>
    <row r="21" ht="29" spans="1:8">
      <c r="A21" s="8" t="s">
        <v>246</v>
      </c>
      <c r="B21" s="8" t="s">
        <v>247</v>
      </c>
      <c r="C21" s="8" t="s">
        <v>248</v>
      </c>
      <c r="D21" s="8" t="s">
        <v>249</v>
      </c>
      <c r="E21" s="4"/>
      <c r="F21" s="4"/>
      <c r="G21" s="4"/>
      <c r="H21" s="4"/>
    </row>
    <row r="22" ht="29" spans="1:8">
      <c r="A22" s="8" t="s">
        <v>250</v>
      </c>
      <c r="B22" s="8" t="s">
        <v>251</v>
      </c>
      <c r="C22" s="8" t="s">
        <v>252</v>
      </c>
      <c r="D22" s="8" t="s">
        <v>253</v>
      </c>
      <c r="E22" s="4"/>
      <c r="F22" s="4"/>
      <c r="G22" s="4"/>
      <c r="H22" s="4"/>
    </row>
    <row r="23" spans="1:8">
      <c r="A23" s="8" t="s">
        <v>254</v>
      </c>
      <c r="B23" s="8" t="s">
        <v>255</v>
      </c>
      <c r="C23" s="8" t="s">
        <v>256</v>
      </c>
      <c r="D23" s="8" t="s">
        <v>257</v>
      </c>
      <c r="E23" s="4"/>
      <c r="F23" s="4"/>
      <c r="G23" s="4"/>
      <c r="H23" s="4"/>
    </row>
    <row r="24" ht="29" spans="1:8">
      <c r="A24" s="8" t="s">
        <v>258</v>
      </c>
      <c r="B24" s="8" t="s">
        <v>259</v>
      </c>
      <c r="C24" s="8" t="s">
        <v>260</v>
      </c>
      <c r="D24" s="8" t="s">
        <v>261</v>
      </c>
      <c r="E24" s="4"/>
      <c r="F24" s="4"/>
      <c r="G24" s="4"/>
      <c r="H24" s="4"/>
    </row>
    <row r="25" ht="29" spans="1:8">
      <c r="A25" s="8" t="s">
        <v>262</v>
      </c>
      <c r="B25" s="8" t="s">
        <v>263</v>
      </c>
      <c r="C25" s="8" t="s">
        <v>264</v>
      </c>
      <c r="D25" s="8" t="s">
        <v>265</v>
      </c>
      <c r="E25" s="4"/>
      <c r="F25" s="4"/>
      <c r="G25" s="4"/>
      <c r="H25" s="4"/>
    </row>
    <row r="26" ht="29" spans="1:8">
      <c r="A26" s="8" t="s">
        <v>266</v>
      </c>
      <c r="B26" s="8" t="s">
        <v>267</v>
      </c>
      <c r="C26" s="8" t="s">
        <v>268</v>
      </c>
      <c r="D26" s="8" t="s">
        <v>269</v>
      </c>
      <c r="E26" s="4"/>
      <c r="F26" s="4"/>
      <c r="G26" s="4"/>
      <c r="H26" s="4"/>
    </row>
    <row r="27" ht="29" spans="1:8">
      <c r="A27" s="8" t="s">
        <v>270</v>
      </c>
      <c r="B27" s="8" t="s">
        <v>271</v>
      </c>
      <c r="C27" s="8" t="s">
        <v>272</v>
      </c>
      <c r="D27" s="8" t="s">
        <v>273</v>
      </c>
      <c r="E27" s="4"/>
      <c r="F27" s="4"/>
      <c r="G27" s="4"/>
      <c r="H27" s="4"/>
    </row>
    <row r="28" spans="1:8">
      <c r="A28" s="8" t="s">
        <v>274</v>
      </c>
      <c r="B28" s="8" t="s">
        <v>275</v>
      </c>
      <c r="C28" s="8" t="s">
        <v>276</v>
      </c>
      <c r="D28" s="8" t="s">
        <v>277</v>
      </c>
      <c r="E28" s="4"/>
      <c r="F28" s="4"/>
      <c r="G28" s="4"/>
      <c r="H28" s="4"/>
    </row>
    <row r="29" spans="1:8">
      <c r="A29" s="8" t="s">
        <v>278</v>
      </c>
      <c r="B29" s="8" t="s">
        <v>279</v>
      </c>
      <c r="C29" s="8" t="s">
        <v>280</v>
      </c>
      <c r="D29" s="8" t="s">
        <v>281</v>
      </c>
      <c r="E29" s="4"/>
      <c r="F29" s="4"/>
      <c r="G29" s="4"/>
      <c r="H29" s="4"/>
    </row>
    <row r="30" spans="1:8">
      <c r="A30" s="8" t="s">
        <v>282</v>
      </c>
      <c r="B30" s="8" t="s">
        <v>283</v>
      </c>
      <c r="C30" s="8" t="s">
        <v>284</v>
      </c>
      <c r="D30" s="8" t="s">
        <v>285</v>
      </c>
      <c r="E30" s="4"/>
      <c r="F30" s="4"/>
      <c r="G30" s="4"/>
      <c r="H30" s="4"/>
    </row>
    <row r="31" ht="29" spans="1:8">
      <c r="A31" s="8" t="s">
        <v>286</v>
      </c>
      <c r="B31" s="8" t="s">
        <v>287</v>
      </c>
      <c r="C31" s="8" t="s">
        <v>288</v>
      </c>
      <c r="D31" s="8" t="s">
        <v>289</v>
      </c>
      <c r="E31" s="4"/>
      <c r="F31" s="4"/>
      <c r="G31" s="4"/>
      <c r="H31" s="4"/>
    </row>
    <row r="32" ht="29" spans="1:8">
      <c r="A32" s="8" t="s">
        <v>290</v>
      </c>
      <c r="B32" s="8" t="s">
        <v>291</v>
      </c>
      <c r="C32" s="8" t="s">
        <v>292</v>
      </c>
      <c r="D32" s="8" t="s">
        <v>293</v>
      </c>
      <c r="E32" s="4"/>
      <c r="F32" s="4"/>
      <c r="G32" s="4"/>
      <c r="H32" s="4"/>
    </row>
    <row r="33" spans="1:8">
      <c r="A33" s="8" t="s">
        <v>294</v>
      </c>
      <c r="B33" s="8" t="s">
        <v>295</v>
      </c>
      <c r="C33" s="8" t="s">
        <v>296</v>
      </c>
      <c r="D33" s="8" t="s">
        <v>297</v>
      </c>
      <c r="E33" s="4"/>
      <c r="F33" s="4"/>
      <c r="G33" s="4"/>
      <c r="H33" s="4"/>
    </row>
    <row r="34" spans="1:8">
      <c r="A34" s="8" t="s">
        <v>298</v>
      </c>
      <c r="B34" s="8" t="s">
        <v>299</v>
      </c>
      <c r="C34" s="8" t="s">
        <v>300</v>
      </c>
      <c r="D34" s="8" t="s">
        <v>301</v>
      </c>
      <c r="E34" s="4"/>
      <c r="F34" s="4"/>
      <c r="G34" s="4"/>
      <c r="H34" s="4"/>
    </row>
    <row r="35" spans="1:8">
      <c r="A35" s="8" t="s">
        <v>302</v>
      </c>
      <c r="B35" s="8" t="s">
        <v>303</v>
      </c>
      <c r="C35" s="8" t="s">
        <v>304</v>
      </c>
      <c r="D35" s="8" t="s">
        <v>305</v>
      </c>
      <c r="E35" s="4"/>
      <c r="F35" s="4"/>
      <c r="G35" s="4"/>
      <c r="H35" s="4"/>
    </row>
    <row r="36" spans="1:8">
      <c r="A36" s="8" t="s">
        <v>306</v>
      </c>
      <c r="B36" s="8" t="s">
        <v>307</v>
      </c>
      <c r="C36" s="8" t="s">
        <v>308</v>
      </c>
      <c r="D36" s="8" t="s">
        <v>309</v>
      </c>
      <c r="E36" s="4"/>
      <c r="F36" s="4"/>
      <c r="G36" s="4"/>
      <c r="H36" s="4"/>
    </row>
  </sheetData>
  <mergeCells count="4">
    <mergeCell ref="A1:H1"/>
    <mergeCell ref="A5:H5"/>
    <mergeCell ref="A14:D14"/>
    <mergeCell ref="A2:H3"/>
  </mergeCells>
  <pageMargins left="0.7" right="0.7" top="0.75" bottom="0.75" header="0.511811023622047" footer="0.511811023622047"/>
  <pageSetup paperSize="9" orientation="portrait" horizontalDpi="300" verticalDpi="300"/>
  <headerFooter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8.68181818181818" defaultRowHeight="14.5" outlineLevelCol="6"/>
  <cols>
    <col min="1" max="1" width="24" style="1" customWidth="1"/>
    <col min="2" max="3" width="42" style="1" customWidth="1"/>
    <col min="4" max="4" width="48" style="1" customWidth="1"/>
    <col min="5" max="7" width="10" style="1" customWidth="1"/>
  </cols>
  <sheetData>
    <row r="1" ht="27.75" customHeight="1" spans="1:7">
      <c r="A1" s="5" t="s">
        <v>310</v>
      </c>
      <c r="B1" s="5"/>
      <c r="C1" s="5"/>
      <c r="D1" s="5"/>
      <c r="E1" s="5"/>
      <c r="F1" s="5"/>
      <c r="G1" s="5"/>
    </row>
    <row r="2" ht="15" customHeight="1" spans="1:7">
      <c r="A2" s="6" t="s">
        <v>311</v>
      </c>
      <c r="B2" s="6"/>
      <c r="C2" s="6"/>
      <c r="D2" s="6"/>
      <c r="E2" s="6"/>
      <c r="F2" s="6"/>
      <c r="G2" s="6"/>
    </row>
    <row r="3" ht="12.5" spans="1:7">
      <c r="A3" s="6"/>
      <c r="B3" s="6"/>
      <c r="C3" s="6"/>
      <c r="D3" s="6"/>
      <c r="E3" s="6"/>
      <c r="F3" s="6"/>
      <c r="G3" s="6"/>
    </row>
    <row r="4" spans="1:7">
      <c r="A4" s="4"/>
      <c r="B4" s="4"/>
      <c r="C4" s="4"/>
      <c r="D4" s="4"/>
      <c r="E4" s="4"/>
      <c r="F4" s="4"/>
      <c r="G4" s="4"/>
    </row>
    <row r="5" spans="1:7">
      <c r="A5" s="7" t="s">
        <v>312</v>
      </c>
      <c r="B5" s="7" t="s">
        <v>313</v>
      </c>
      <c r="C5" s="7" t="s">
        <v>314</v>
      </c>
      <c r="D5" s="7" t="s">
        <v>315</v>
      </c>
      <c r="E5" s="4"/>
      <c r="F5" s="4"/>
      <c r="G5" s="4"/>
    </row>
    <row r="6" spans="1:7">
      <c r="A6" s="8" t="s">
        <v>316</v>
      </c>
      <c r="B6" s="8" t="s">
        <v>317</v>
      </c>
      <c r="C6" s="8" t="s">
        <v>318</v>
      </c>
      <c r="D6" s="8" t="s">
        <v>319</v>
      </c>
      <c r="E6" s="4"/>
      <c r="F6" s="4"/>
      <c r="G6" s="4"/>
    </row>
    <row r="7" ht="29" spans="1:7">
      <c r="A7" s="8" t="s">
        <v>320</v>
      </c>
      <c r="B7" s="8" t="s">
        <v>321</v>
      </c>
      <c r="C7" s="8" t="s">
        <v>322</v>
      </c>
      <c r="D7" s="8" t="s">
        <v>323</v>
      </c>
      <c r="E7" s="4"/>
      <c r="F7" s="4"/>
      <c r="G7" s="4"/>
    </row>
    <row r="8" ht="29" spans="1:7">
      <c r="A8" s="8" t="s">
        <v>324</v>
      </c>
      <c r="B8" s="8" t="s">
        <v>325</v>
      </c>
      <c r="C8" s="8" t="s">
        <v>326</v>
      </c>
      <c r="D8" s="8" t="s">
        <v>327</v>
      </c>
      <c r="E8" s="4"/>
      <c r="F8" s="4"/>
      <c r="G8" s="4"/>
    </row>
    <row r="9" spans="1:7">
      <c r="A9" s="8" t="s">
        <v>328</v>
      </c>
      <c r="B9" s="8" t="s">
        <v>329</v>
      </c>
      <c r="C9" s="8" t="s">
        <v>330</v>
      </c>
      <c r="D9" s="8" t="s">
        <v>331</v>
      </c>
      <c r="E9" s="4"/>
      <c r="F9" s="4"/>
      <c r="G9" s="4"/>
    </row>
    <row r="10" spans="1:7">
      <c r="A10" s="8" t="s">
        <v>332</v>
      </c>
      <c r="B10" s="8" t="s">
        <v>333</v>
      </c>
      <c r="C10" s="8" t="s">
        <v>334</v>
      </c>
      <c r="D10" s="8" t="s">
        <v>335</v>
      </c>
      <c r="E10" s="4"/>
      <c r="F10" s="4"/>
      <c r="G10" s="4"/>
    </row>
    <row r="11" spans="1:7">
      <c r="A11" s="8" t="s">
        <v>336</v>
      </c>
      <c r="B11" s="8" t="s">
        <v>337</v>
      </c>
      <c r="C11" s="8" t="s">
        <v>338</v>
      </c>
      <c r="D11" s="8" t="s">
        <v>339</v>
      </c>
      <c r="E11" s="4"/>
      <c r="F11" s="4"/>
      <c r="G11" s="4"/>
    </row>
    <row r="12" ht="29" spans="1:7">
      <c r="A12" s="8" t="s">
        <v>84</v>
      </c>
      <c r="B12" s="8" t="s">
        <v>340</v>
      </c>
      <c r="C12" s="8" t="s">
        <v>341</v>
      </c>
      <c r="D12" s="8" t="s">
        <v>342</v>
      </c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9" t="s">
        <v>343</v>
      </c>
      <c r="B14" s="9"/>
      <c r="C14" s="9"/>
      <c r="D14" s="9"/>
      <c r="E14" s="4"/>
      <c r="F14" s="4"/>
      <c r="G14" s="4"/>
    </row>
    <row r="15" ht="29" spans="1:7">
      <c r="A15" s="10" t="s">
        <v>3</v>
      </c>
      <c r="B15" s="11" t="s">
        <v>344</v>
      </c>
      <c r="C15" s="4"/>
      <c r="D15" s="4"/>
      <c r="E15" s="4"/>
      <c r="F15" s="4"/>
      <c r="G15" s="4"/>
    </row>
    <row r="16" ht="29" spans="1:7">
      <c r="A16" s="10" t="s">
        <v>6</v>
      </c>
      <c r="B16" s="11" t="s">
        <v>345</v>
      </c>
      <c r="C16" s="4"/>
      <c r="D16" s="4"/>
      <c r="E16" s="4"/>
      <c r="F16" s="4"/>
      <c r="G16" s="4"/>
    </row>
    <row r="17" ht="29" spans="1:7">
      <c r="A17" s="10" t="s">
        <v>9</v>
      </c>
      <c r="B17" s="11" t="s">
        <v>346</v>
      </c>
      <c r="C17" s="4"/>
      <c r="D17" s="4"/>
      <c r="E17" s="4"/>
      <c r="F17" s="4"/>
      <c r="G17" s="4"/>
    </row>
    <row r="18" ht="29" spans="1:7">
      <c r="A18" s="10" t="s">
        <v>12</v>
      </c>
      <c r="B18" s="11" t="s">
        <v>347</v>
      </c>
      <c r="C18" s="4"/>
      <c r="D18" s="4"/>
      <c r="E18" s="4"/>
      <c r="F18" s="4"/>
      <c r="G18" s="4"/>
    </row>
    <row r="19" spans="1:7">
      <c r="A19" s="10" t="s">
        <v>15</v>
      </c>
      <c r="B19" s="11" t="s">
        <v>348</v>
      </c>
      <c r="C19" s="4"/>
      <c r="D19" s="4"/>
      <c r="E19" s="4"/>
      <c r="F19" s="4"/>
      <c r="G19" s="4"/>
    </row>
    <row r="20" ht="29" spans="1:7">
      <c r="A20" s="10" t="s">
        <v>349</v>
      </c>
      <c r="B20" s="11" t="s">
        <v>350</v>
      </c>
      <c r="C20" s="4"/>
      <c r="D20" s="4"/>
      <c r="E20" s="4"/>
      <c r="F20" s="4"/>
      <c r="G20" s="4"/>
    </row>
    <row r="21" ht="29" spans="1:7">
      <c r="A21" s="10" t="s">
        <v>351</v>
      </c>
      <c r="B21" s="11" t="s">
        <v>352</v>
      </c>
      <c r="C21" s="4"/>
      <c r="D21" s="4"/>
      <c r="E21" s="4"/>
      <c r="F21" s="4"/>
      <c r="G21" s="4"/>
    </row>
  </sheetData>
  <mergeCells count="3">
    <mergeCell ref="A1:G1"/>
    <mergeCell ref="A14:D14"/>
    <mergeCell ref="A2:G3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8.68181818181818" defaultRowHeight="14.5" outlineLevelCol="4"/>
  <cols>
    <col min="1" max="1" width="36" style="1" customWidth="1"/>
    <col min="2" max="2" width="3" style="1" customWidth="1"/>
    <col min="3" max="3" width="22" style="1" customWidth="1"/>
    <col min="4" max="4" width="3" style="1" customWidth="1"/>
    <col min="5" max="5" width="18" style="1" customWidth="1"/>
  </cols>
  <sheetData>
    <row r="1" ht="15.5" spans="1:5">
      <c r="A1" s="2" t="s">
        <v>353</v>
      </c>
      <c r="B1" s="2"/>
      <c r="C1" s="2"/>
      <c r="D1" s="2"/>
      <c r="E1" s="2"/>
    </row>
    <row r="2" spans="1:5">
      <c r="A2" s="3" t="s">
        <v>354</v>
      </c>
      <c r="B2" s="3"/>
      <c r="C2" s="3" t="s">
        <v>35</v>
      </c>
      <c r="D2" s="3"/>
      <c r="E2" s="3" t="s">
        <v>355</v>
      </c>
    </row>
    <row r="3" spans="1:5">
      <c r="A3" s="4" t="s">
        <v>226</v>
      </c>
      <c r="B3" s="4"/>
      <c r="C3" s="4" t="s">
        <v>356</v>
      </c>
      <c r="D3" s="4"/>
      <c r="E3" s="4" t="s">
        <v>357</v>
      </c>
    </row>
    <row r="4" spans="1:5">
      <c r="A4" s="4" t="s">
        <v>230</v>
      </c>
      <c r="B4" s="4"/>
      <c r="C4" s="4" t="s">
        <v>358</v>
      </c>
      <c r="D4" s="4"/>
      <c r="E4" s="4" t="s">
        <v>359</v>
      </c>
    </row>
    <row r="5" spans="1:5">
      <c r="A5" s="4" t="s">
        <v>234</v>
      </c>
      <c r="B5" s="4"/>
      <c r="C5" s="4" t="s">
        <v>360</v>
      </c>
      <c r="D5" s="4"/>
      <c r="E5" s="4" t="s">
        <v>361</v>
      </c>
    </row>
    <row r="6" spans="1:5">
      <c r="A6" s="4" t="s">
        <v>362</v>
      </c>
      <c r="B6" s="4"/>
      <c r="C6" s="4" t="s">
        <v>363</v>
      </c>
      <c r="D6" s="4"/>
      <c r="E6" s="4"/>
    </row>
    <row r="7" spans="1:5">
      <c r="A7" s="4" t="s">
        <v>364</v>
      </c>
      <c r="B7" s="4"/>
      <c r="C7" s="4" t="s">
        <v>365</v>
      </c>
      <c r="D7" s="4"/>
      <c r="E7" s="4"/>
    </row>
    <row r="8" spans="1:5">
      <c r="A8" s="4" t="s">
        <v>246</v>
      </c>
      <c r="B8" s="4"/>
      <c r="C8" s="4" t="s">
        <v>366</v>
      </c>
      <c r="D8" s="4"/>
      <c r="E8" s="4"/>
    </row>
    <row r="9" spans="1:5">
      <c r="A9" s="4" t="s">
        <v>250</v>
      </c>
      <c r="B9" s="4"/>
      <c r="C9" s="4"/>
      <c r="D9" s="4"/>
      <c r="E9" s="4"/>
    </row>
    <row r="10" spans="1:5">
      <c r="A10" s="4" t="s">
        <v>254</v>
      </c>
      <c r="B10" s="4"/>
      <c r="C10" s="4"/>
      <c r="D10" s="4"/>
      <c r="E10" s="4"/>
    </row>
    <row r="11" spans="1:5">
      <c r="A11" s="4" t="s">
        <v>258</v>
      </c>
      <c r="B11" s="4"/>
      <c r="C11" s="4"/>
      <c r="D11" s="4"/>
      <c r="E11" s="4"/>
    </row>
    <row r="12" spans="1:5">
      <c r="A12" s="4" t="s">
        <v>262</v>
      </c>
      <c r="B12" s="4"/>
      <c r="C12" s="4"/>
      <c r="D12" s="4"/>
      <c r="E12" s="4"/>
    </row>
    <row r="13" spans="1:5">
      <c r="A13" s="4" t="s">
        <v>266</v>
      </c>
      <c r="B13" s="4"/>
      <c r="C13" s="4"/>
      <c r="D13" s="4"/>
      <c r="E13" s="4"/>
    </row>
    <row r="14" spans="1:5">
      <c r="A14" s="4" t="s">
        <v>270</v>
      </c>
      <c r="B14" s="4"/>
      <c r="C14" s="4"/>
      <c r="D14" s="4"/>
      <c r="E14" s="4"/>
    </row>
    <row r="15" spans="1:5">
      <c r="A15" s="4" t="s">
        <v>367</v>
      </c>
      <c r="B15" s="4"/>
      <c r="C15" s="4"/>
      <c r="D15" s="4"/>
      <c r="E15" s="4"/>
    </row>
    <row r="16" spans="1:5">
      <c r="A16" s="4" t="s">
        <v>368</v>
      </c>
      <c r="B16" s="4"/>
      <c r="C16" s="4"/>
      <c r="D16" s="4"/>
      <c r="E16" s="4"/>
    </row>
    <row r="17" spans="1:5">
      <c r="A17" s="4" t="s">
        <v>282</v>
      </c>
      <c r="B17" s="4"/>
      <c r="C17" s="4"/>
      <c r="D17" s="4"/>
      <c r="E17" s="4"/>
    </row>
    <row r="18" spans="1:5">
      <c r="A18" s="4" t="s">
        <v>286</v>
      </c>
      <c r="B18" s="4"/>
      <c r="C18" s="4"/>
      <c r="D18" s="4"/>
      <c r="E18" s="4"/>
    </row>
    <row r="19" spans="1:5">
      <c r="A19" s="4" t="s">
        <v>369</v>
      </c>
      <c r="B19" s="4"/>
      <c r="C19" s="4"/>
      <c r="D19" s="4"/>
      <c r="E19" s="4"/>
    </row>
    <row r="20" spans="1:5">
      <c r="A20" s="4" t="s">
        <v>294</v>
      </c>
      <c r="B20" s="4"/>
      <c r="C20" s="4"/>
      <c r="D20" s="4"/>
      <c r="E20" s="4"/>
    </row>
    <row r="21" spans="1:5">
      <c r="A21" s="4" t="s">
        <v>298</v>
      </c>
      <c r="B21" s="4"/>
      <c r="C21" s="4"/>
      <c r="D21" s="4"/>
      <c r="E21" s="4"/>
    </row>
    <row r="22" spans="1:5">
      <c r="A22" s="4" t="s">
        <v>370</v>
      </c>
      <c r="B22" s="4"/>
      <c r="C22" s="4"/>
      <c r="D22" s="4"/>
      <c r="E22" s="4"/>
    </row>
    <row r="23" spans="1:5">
      <c r="A23" s="4" t="s">
        <v>371</v>
      </c>
      <c r="B23" s="4"/>
      <c r="C23" s="4"/>
      <c r="D23" s="4"/>
      <c r="E23" s="4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START HERE</vt:lpstr>
      <vt:lpstr>DATA ENTRY</vt:lpstr>
      <vt:lpstr>RATIO RESULTS</vt:lpstr>
      <vt:lpstr>DASHBOARD</vt:lpstr>
      <vt:lpstr>FINDING BUILDER</vt:lpstr>
      <vt:lpstr>STATEMENT MAP</vt:lpstr>
      <vt:lpstr>SECTOR GUIDE</vt:lpstr>
      <vt:lpstr>SOURCE REGISTER</vt:lpstr>
      <vt:lpstr>VALIDATION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2026-06-09T15:21:00Z</dcterms:created>
  <dcterms:modified xsi:type="dcterms:W3CDTF">2026-06-09T15:43:29Z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5675E274750E4D1A99A4970C746FE799_12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